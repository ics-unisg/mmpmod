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marco_franceschetti_unisg_ch/Documents/Dokumente/Papers/CAiSE2026/Disambiguation/Supplementary_material/"/>
    </mc:Choice>
  </mc:AlternateContent>
  <xr:revisionPtr revIDLastSave="187" documentId="8_{5D121EB0-ECF9-4C90-8DE5-03CDB17C0475}" xr6:coauthVersionLast="47" xr6:coauthVersionMax="47" xr10:uidLastSave="{202A539E-A0B1-4FFE-B42D-C6D8CC216C6A}"/>
  <bookViews>
    <workbookView xWindow="-57720" yWindow="-120" windowWidth="29040" windowHeight="15720" xr2:uid="{24A00DA3-3577-4F84-8A2C-42F3BB11A54C}"/>
  </bookViews>
  <sheets>
    <sheet name="results" sheetId="2" r:id="rId1"/>
    <sheet name="latencies" sheetId="3" r:id="rId2"/>
  </sheets>
  <definedNames>
    <definedName name="ExternalData_1" localSheetId="0" hidden="1">results!$A$1:$B$51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3" i="3" l="1"/>
  <c r="A273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79" i="3" s="1"/>
  <c r="F53" i="2"/>
  <c r="C53" i="2"/>
  <c r="C54" i="2" s="1"/>
  <c r="C273" i="3" l="1"/>
  <c r="C27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DC6ABC-5821-4818-9C98-8970518AB681}" keepAlive="1" name="Query - notes" description="Connection to the 'notes' query in the workbook." type="5" refreshedVersion="8" background="1" saveData="1">
    <dbPr connection="Provider=Microsoft.Mashup.OleDb.1;Data Source=$Workbook$;Location=notes;Extended Properties=&quot;&quot;" command="SELECT * FROM [notes]"/>
  </connection>
</connections>
</file>

<file path=xl/sharedStrings.xml><?xml version="1.0" encoding="utf-8"?>
<sst xmlns="http://schemas.openxmlformats.org/spreadsheetml/2006/main" count="151" uniqueCount="94">
  <si>
    <t>Trace 1</t>
  </si>
  <si>
    <t xml:space="preserve"> ok</t>
  </si>
  <si>
    <t>Trace 2</t>
  </si>
  <si>
    <t>Trace 3</t>
  </si>
  <si>
    <t>Trace 4</t>
  </si>
  <si>
    <t>Trace 5</t>
  </si>
  <si>
    <t>Trace 6</t>
  </si>
  <si>
    <t xml:space="preserve"> the 17th event is a fake ambiguity that was correctly not assigned a label</t>
  </si>
  <si>
    <t>Trace 7</t>
  </si>
  <si>
    <t>Trace 8</t>
  </si>
  <si>
    <t>Trace 9</t>
  </si>
  <si>
    <t>Trace 10</t>
  </si>
  <si>
    <t xml:space="preserve"> the 11th event "apply tourniquet" was incorrectly labeled as "disinfection"</t>
  </si>
  <si>
    <t>Trace 11</t>
  </si>
  <si>
    <t xml:space="preserve"> the 15the event is a fake ambiguity that was correctly not resolved</t>
  </si>
  <si>
    <t>Trace 12</t>
  </si>
  <si>
    <t>Trace 13</t>
  </si>
  <si>
    <t xml:space="preserve"> the 19th event is a fake ambiguity that was correctly not resolved</t>
  </si>
  <si>
    <t>Trace 14</t>
  </si>
  <si>
    <t xml:space="preserve"> the 13th event "remove needle" was incorrectly labeled as "disinfection"</t>
  </si>
  <si>
    <t>Trace 15</t>
  </si>
  <si>
    <t>Trace 16</t>
  </si>
  <si>
    <t>Trace 17</t>
  </si>
  <si>
    <t xml:space="preserve"> the 15th event "remove tourniquet" was not disambiguated</t>
  </si>
  <si>
    <t>Trace 18</t>
  </si>
  <si>
    <t xml:space="preserve"> the 7th event "apply tourniquet" was not disambiguated</t>
  </si>
  <si>
    <t>Trace 19</t>
  </si>
  <si>
    <t>Trace 20</t>
  </si>
  <si>
    <t xml:space="preserve"> the 11th event "remove tourniquet" was not disambiguated</t>
  </si>
  <si>
    <t>Trace 21</t>
  </si>
  <si>
    <t xml:space="preserve"> the 5th event is a fake ambiguity that was correctly not assigned a label; the 13th event "remove tourniquet" was not disambiguated</t>
  </si>
  <si>
    <t>Trace 22</t>
  </si>
  <si>
    <t xml:space="preserve"> the 9th event "remove tourniquet" was not disambiguated</t>
  </si>
  <si>
    <t>Trace 23</t>
  </si>
  <si>
    <t>Trace 24</t>
  </si>
  <si>
    <t>Trace 25</t>
  </si>
  <si>
    <t>Trace 26</t>
  </si>
  <si>
    <t>Trace 27</t>
  </si>
  <si>
    <t>Trace 28</t>
  </si>
  <si>
    <t xml:space="preserve"> ok </t>
  </si>
  <si>
    <t>Trace 29</t>
  </si>
  <si>
    <t>Trace 30</t>
  </si>
  <si>
    <t>Trace 31</t>
  </si>
  <si>
    <t>Trace 32</t>
  </si>
  <si>
    <t>Trace 33</t>
  </si>
  <si>
    <t>Trace 34</t>
  </si>
  <si>
    <t>Trace 35</t>
  </si>
  <si>
    <t xml:space="preserve"> the 14th event is a fake ambiguity that was correctly not assigned a label</t>
  </si>
  <si>
    <t>Trace 36</t>
  </si>
  <si>
    <t>Trace 37</t>
  </si>
  <si>
    <t>Trace 38</t>
  </si>
  <si>
    <t xml:space="preserve"> the 3rd event is a fake ambiguity that was correctly not assigned a label</t>
  </si>
  <si>
    <t>Trace 39</t>
  </si>
  <si>
    <t>Trace 40</t>
  </si>
  <si>
    <t>Trace 41</t>
  </si>
  <si>
    <t>Trace 42</t>
  </si>
  <si>
    <t xml:space="preserve"> the 4th event, 15th event, 22nd event, and 32nd event are each a fake ambiguity that were correctly not assigned a label</t>
  </si>
  <si>
    <t>Trace 43</t>
  </si>
  <si>
    <t>Trace 44</t>
  </si>
  <si>
    <t xml:space="preserve"> the 8th event "disinfection" was not disambiguated</t>
  </si>
  <si>
    <t>Trace 45</t>
  </si>
  <si>
    <t xml:space="preserve"> the 9th event "disinfection" was not disambiguated</t>
  </si>
  <si>
    <t>Trace 46</t>
  </si>
  <si>
    <t xml:space="preserve"> the 6th event "apply tourniquet" was not disambiguated; the 11th event "disinfection" was not disambiguated; the 23rd event is a fake ambiguity that was correctly not assigned a label</t>
  </si>
  <si>
    <t>Trace 47</t>
  </si>
  <si>
    <t>Trace 48</t>
  </si>
  <si>
    <t>Trace 49</t>
  </si>
  <si>
    <t>Trace 50</t>
  </si>
  <si>
    <t xml:space="preserve"> the 11th event is a fake ambiguity that was correctly not assigned a label</t>
  </si>
  <si>
    <t>Trace</t>
  </si>
  <si>
    <t>Notes</t>
  </si>
  <si>
    <t>Misclassifications</t>
  </si>
  <si>
    <t xml:space="preserve"> the 7th process event is a fake ambiguity that was correctly not assigned a label; the 9th event "disinfection" was not disambiguated</t>
  </si>
  <si>
    <t xml:space="preserve"> the 7th event "disinfection" was not disambiguated</t>
  </si>
  <si>
    <t>wrong label</t>
  </si>
  <si>
    <t>Misclassification type</t>
  </si>
  <si>
    <t>no label</t>
  </si>
  <si>
    <t xml:space="preserve"> the 15the event "injection" was incorrectly labeled as "disinfection"</t>
  </si>
  <si>
    <t xml:space="preserve"> the 4th event is a fake ambiguity that was correctly not assigned a label; the 6th event "apply tourniquet" was incorrectly labeled as "injection"; the 10th event is a fake ambiguity that was correctly not assigned a label; the 23rd event is a fake ambiguity that was correctly not assigned a label</t>
  </si>
  <si>
    <t xml:space="preserve"> the 4th event "apply tourniquet" was incorrectly labeled as "disinfection"</t>
  </si>
  <si>
    <t>Precision</t>
  </si>
  <si>
    <t>Misclassification type2</t>
  </si>
  <si>
    <t>Fake ambiguities</t>
  </si>
  <si>
    <t xml:space="preserve"> the 5th event "apply tourniquet" was not disambiguated; the 8th event "disinfection" was not disambiguated; the 20th event was a fake ambiguity that was correctly not assigned a label</t>
  </si>
  <si>
    <t>Fake ambiguities not labeled</t>
  </si>
  <si>
    <t>Fake ambiguity classification</t>
  </si>
  <si>
    <t>frame capture [ms]</t>
  </si>
  <si>
    <t>inference [ms]</t>
  </si>
  <si>
    <t>total disambiguation [ms]</t>
  </si>
  <si>
    <t>average frame capture</t>
  </si>
  <si>
    <t>average inference</t>
  </si>
  <si>
    <t>average disambiguation</t>
  </si>
  <si>
    <t>median disambiguation</t>
  </si>
  <si>
    <t>stdev disambiguation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</si>
</sst>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5D3F96-138F-4B37-98A2-F946A02FD200}" autoFormatId="16" applyNumberFormats="0" applyBorderFormats="0" applyFontFormats="0" applyPatternFormats="0" applyAlignmentFormats="0" applyWidthHeightFormats="0">
  <queryTableRefresh nextId="8" unboundColumnsRight="5">
    <queryTableFields count="7">
      <queryTableField id="1" name="Column1" tableColumnId="1"/>
      <queryTableField id="2" name="Column2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2B58E0-5163-4F84-9F0C-21DE3EF044F4}" name="notes" displayName="notes" ref="A1:G51" tableType="queryTable" totalsRowShown="0">
  <autoFilter ref="A1:G51" xr:uid="{702B58E0-5163-4F84-9F0C-21DE3EF044F4}"/>
  <tableColumns count="7">
    <tableColumn id="1" xr3:uid="{71F56724-3815-4B3E-998F-A389FA1B2A91}" uniqueName="1" name="Trace" queryTableFieldId="1" dataDxfId="6"/>
    <tableColumn id="2" xr3:uid="{67B7B99E-5331-4069-8BDA-310475E772EF}" uniqueName="2" name="Notes" queryTableFieldId="2" dataDxfId="5"/>
    <tableColumn id="3" xr3:uid="{68CFEBD5-2000-43FD-B19C-0EBA88D71602}" uniqueName="3" name="Misclassifications" queryTableFieldId="3" dataDxfId="4"/>
    <tableColumn id="4" xr3:uid="{B821C014-786F-4C14-9638-F2A404660801}" uniqueName="4" name="Misclassification type" queryTableFieldId="4" dataDxfId="3"/>
    <tableColumn id="5" xr3:uid="{435C6ACC-415D-4FE0-8279-29ED2451CCBF}" uniqueName="5" name="Misclassification type2" queryTableFieldId="5" dataDxfId="2"/>
    <tableColumn id="6" xr3:uid="{4AC964FA-D4B9-4D28-9B09-271470B6814A}" uniqueName="6" name="Fake ambiguities" queryTableFieldId="6" dataDxfId="1"/>
    <tableColumn id="7" xr3:uid="{A0A9C2B9-C543-4BB2-99A2-851666E492FD}" uniqueName="7" name="Fake ambiguity classificat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8DC4-15AB-4D62-9615-DE7AD4F50C96}">
  <dimension ref="A1:G54"/>
  <sheetViews>
    <sheetView tabSelected="1" workbookViewId="0"/>
  </sheetViews>
  <sheetFormatPr defaultRowHeight="12.5" x14ac:dyDescent="0.25"/>
  <cols>
    <col min="1" max="1" width="8" bestFit="1" customWidth="1"/>
    <col min="2" max="2" width="145.81640625" customWidth="1"/>
    <col min="3" max="3" width="18.36328125" bestFit="1" customWidth="1"/>
    <col min="4" max="4" width="21.7265625" bestFit="1" customWidth="1"/>
    <col min="5" max="5" width="22.7265625" customWidth="1"/>
    <col min="6" max="6" width="18.08984375" bestFit="1" customWidth="1"/>
    <col min="7" max="7" width="28.7265625" bestFit="1" customWidth="1"/>
  </cols>
  <sheetData>
    <row r="1" spans="1:7" x14ac:dyDescent="0.25">
      <c r="A1" t="s">
        <v>69</v>
      </c>
      <c r="B1" t="s">
        <v>70</v>
      </c>
      <c r="C1" t="s">
        <v>71</v>
      </c>
      <c r="D1" t="s">
        <v>75</v>
      </c>
      <c r="E1" t="s">
        <v>81</v>
      </c>
      <c r="F1" t="s">
        <v>82</v>
      </c>
      <c r="G1" t="s">
        <v>85</v>
      </c>
    </row>
    <row r="2" spans="1:7" x14ac:dyDescent="0.25">
      <c r="A2" s="1" t="s">
        <v>0</v>
      </c>
      <c r="B2" s="1" t="s">
        <v>1</v>
      </c>
      <c r="C2" s="1">
        <v>0</v>
      </c>
      <c r="D2" s="1"/>
      <c r="E2" s="1"/>
      <c r="F2" s="1">
        <v>0</v>
      </c>
      <c r="G2" s="1"/>
    </row>
    <row r="3" spans="1:7" x14ac:dyDescent="0.25">
      <c r="A3" s="1" t="s">
        <v>2</v>
      </c>
      <c r="B3" s="1" t="s">
        <v>1</v>
      </c>
      <c r="C3" s="1">
        <v>0</v>
      </c>
      <c r="D3" s="1"/>
      <c r="E3" s="1"/>
      <c r="F3" s="1">
        <v>0</v>
      </c>
      <c r="G3" s="1"/>
    </row>
    <row r="4" spans="1:7" x14ac:dyDescent="0.25">
      <c r="A4" s="1" t="s">
        <v>3</v>
      </c>
      <c r="B4" s="1" t="s">
        <v>72</v>
      </c>
      <c r="C4" s="1">
        <v>1</v>
      </c>
      <c r="D4" s="1" t="s">
        <v>76</v>
      </c>
      <c r="E4" s="1"/>
      <c r="F4" s="1">
        <v>1</v>
      </c>
      <c r="G4" s="1" t="s">
        <v>76</v>
      </c>
    </row>
    <row r="5" spans="1:7" x14ac:dyDescent="0.25">
      <c r="A5" s="1" t="s">
        <v>4</v>
      </c>
      <c r="B5" s="1" t="s">
        <v>73</v>
      </c>
      <c r="C5" s="1">
        <v>1</v>
      </c>
      <c r="D5" s="1" t="s">
        <v>76</v>
      </c>
      <c r="E5" s="1"/>
      <c r="F5" s="1">
        <v>0</v>
      </c>
      <c r="G5" s="1"/>
    </row>
    <row r="6" spans="1:7" x14ac:dyDescent="0.25">
      <c r="A6" s="1" t="s">
        <v>5</v>
      </c>
      <c r="B6" s="1" t="s">
        <v>1</v>
      </c>
      <c r="C6" s="1">
        <v>0</v>
      </c>
      <c r="D6" s="1"/>
      <c r="E6" s="1"/>
      <c r="F6" s="1">
        <v>0</v>
      </c>
      <c r="G6" s="1"/>
    </row>
    <row r="7" spans="1:7" x14ac:dyDescent="0.25">
      <c r="A7" s="1" t="s">
        <v>6</v>
      </c>
      <c r="B7" s="1" t="s">
        <v>7</v>
      </c>
      <c r="C7" s="1">
        <v>0</v>
      </c>
      <c r="D7" s="1"/>
      <c r="E7" s="1"/>
      <c r="F7" s="1">
        <v>1</v>
      </c>
      <c r="G7" s="1" t="s">
        <v>76</v>
      </c>
    </row>
    <row r="8" spans="1:7" x14ac:dyDescent="0.25">
      <c r="A8" s="1" t="s">
        <v>8</v>
      </c>
      <c r="B8" s="1" t="s">
        <v>78</v>
      </c>
      <c r="C8" s="1">
        <v>1</v>
      </c>
      <c r="D8" s="1" t="s">
        <v>74</v>
      </c>
      <c r="E8" s="1"/>
      <c r="F8" s="1">
        <v>3</v>
      </c>
      <c r="G8" s="1" t="s">
        <v>76</v>
      </c>
    </row>
    <row r="9" spans="1:7" x14ac:dyDescent="0.25">
      <c r="A9" s="1" t="s">
        <v>9</v>
      </c>
      <c r="B9" s="1" t="s">
        <v>1</v>
      </c>
      <c r="C9" s="1">
        <v>0</v>
      </c>
      <c r="D9" s="1"/>
      <c r="E9" s="1"/>
      <c r="F9" s="1">
        <v>0</v>
      </c>
      <c r="G9" s="1"/>
    </row>
    <row r="10" spans="1:7" x14ac:dyDescent="0.25">
      <c r="A10" s="1" t="s">
        <v>10</v>
      </c>
      <c r="B10" s="1" t="s">
        <v>1</v>
      </c>
      <c r="C10" s="1">
        <v>0</v>
      </c>
      <c r="D10" s="1"/>
      <c r="E10" s="1"/>
      <c r="F10" s="1">
        <v>0</v>
      </c>
      <c r="G10" s="1"/>
    </row>
    <row r="11" spans="1:7" x14ac:dyDescent="0.25">
      <c r="A11" s="1" t="s">
        <v>11</v>
      </c>
      <c r="B11" s="1" t="s">
        <v>12</v>
      </c>
      <c r="C11" s="1">
        <v>1</v>
      </c>
      <c r="D11" s="1" t="s">
        <v>74</v>
      </c>
      <c r="E11" s="1"/>
      <c r="F11" s="1">
        <v>0</v>
      </c>
      <c r="G11" s="1"/>
    </row>
    <row r="12" spans="1:7" x14ac:dyDescent="0.25">
      <c r="A12" s="1" t="s">
        <v>13</v>
      </c>
      <c r="B12" s="1" t="s">
        <v>14</v>
      </c>
      <c r="C12" s="1">
        <v>0</v>
      </c>
      <c r="D12" s="1"/>
      <c r="E12" s="1"/>
      <c r="F12" s="1">
        <v>1</v>
      </c>
      <c r="G12" s="1" t="s">
        <v>76</v>
      </c>
    </row>
    <row r="13" spans="1:7" x14ac:dyDescent="0.25">
      <c r="A13" s="1" t="s">
        <v>15</v>
      </c>
      <c r="B13" s="1" t="s">
        <v>77</v>
      </c>
      <c r="C13" s="1">
        <v>1</v>
      </c>
      <c r="D13" s="1" t="s">
        <v>74</v>
      </c>
      <c r="E13" s="1"/>
      <c r="F13" s="1">
        <v>0</v>
      </c>
      <c r="G13" s="1"/>
    </row>
    <row r="14" spans="1:7" x14ac:dyDescent="0.25">
      <c r="A14" s="1" t="s">
        <v>16</v>
      </c>
      <c r="B14" s="1" t="s">
        <v>17</v>
      </c>
      <c r="C14" s="1">
        <v>1</v>
      </c>
      <c r="D14" s="1" t="s">
        <v>74</v>
      </c>
      <c r="E14" s="1"/>
      <c r="F14" s="1">
        <v>1</v>
      </c>
      <c r="G14" s="1" t="s">
        <v>76</v>
      </c>
    </row>
    <row r="15" spans="1:7" x14ac:dyDescent="0.25">
      <c r="A15" s="1" t="s">
        <v>18</v>
      </c>
      <c r="B15" s="1" t="s">
        <v>19</v>
      </c>
      <c r="C15" s="1">
        <v>1</v>
      </c>
      <c r="D15" s="1" t="s">
        <v>74</v>
      </c>
      <c r="E15" s="1"/>
      <c r="F15" s="1">
        <v>0</v>
      </c>
      <c r="G15" s="1"/>
    </row>
    <row r="16" spans="1:7" x14ac:dyDescent="0.25">
      <c r="A16" s="1" t="s">
        <v>20</v>
      </c>
      <c r="B16" s="1" t="s">
        <v>1</v>
      </c>
      <c r="C16" s="1">
        <v>0</v>
      </c>
      <c r="D16" s="1"/>
      <c r="E16" s="1"/>
      <c r="F16" s="1">
        <v>0</v>
      </c>
      <c r="G16" s="1"/>
    </row>
    <row r="17" spans="1:7" x14ac:dyDescent="0.25">
      <c r="A17" s="1" t="s">
        <v>21</v>
      </c>
      <c r="B17" s="1" t="s">
        <v>1</v>
      </c>
      <c r="C17" s="1">
        <v>0</v>
      </c>
      <c r="D17" s="1"/>
      <c r="E17" s="1"/>
      <c r="F17" s="1">
        <v>0</v>
      </c>
      <c r="G17" s="1"/>
    </row>
    <row r="18" spans="1:7" x14ac:dyDescent="0.25">
      <c r="A18" s="1" t="s">
        <v>22</v>
      </c>
      <c r="B18" s="1" t="s">
        <v>23</v>
      </c>
      <c r="C18" s="1">
        <v>1</v>
      </c>
      <c r="D18" s="1" t="s">
        <v>76</v>
      </c>
      <c r="E18" s="1"/>
      <c r="F18" s="1">
        <v>0</v>
      </c>
      <c r="G18" s="1"/>
    </row>
    <row r="19" spans="1:7" x14ac:dyDescent="0.25">
      <c r="A19" s="1" t="s">
        <v>24</v>
      </c>
      <c r="B19" s="1" t="s">
        <v>25</v>
      </c>
      <c r="C19" s="1">
        <v>1</v>
      </c>
      <c r="D19" s="1" t="s">
        <v>76</v>
      </c>
      <c r="E19" s="1"/>
      <c r="F19" s="1">
        <v>0</v>
      </c>
      <c r="G19" s="1"/>
    </row>
    <row r="20" spans="1:7" x14ac:dyDescent="0.25">
      <c r="A20" s="1" t="s">
        <v>26</v>
      </c>
      <c r="B20" s="1" t="s">
        <v>1</v>
      </c>
      <c r="C20" s="1">
        <v>0</v>
      </c>
      <c r="D20" s="1"/>
      <c r="E20" s="1"/>
      <c r="F20" s="1">
        <v>0</v>
      </c>
      <c r="G20" s="1"/>
    </row>
    <row r="21" spans="1:7" x14ac:dyDescent="0.25">
      <c r="A21" s="1" t="s">
        <v>27</v>
      </c>
      <c r="B21" s="1" t="s">
        <v>28</v>
      </c>
      <c r="C21" s="1">
        <v>1</v>
      </c>
      <c r="D21" s="1" t="s">
        <v>76</v>
      </c>
      <c r="E21" s="1"/>
      <c r="F21" s="1">
        <v>0</v>
      </c>
      <c r="G21" s="1"/>
    </row>
    <row r="22" spans="1:7" x14ac:dyDescent="0.25">
      <c r="A22" s="1" t="s">
        <v>29</v>
      </c>
      <c r="B22" s="1" t="s">
        <v>30</v>
      </c>
      <c r="C22" s="1">
        <v>1</v>
      </c>
      <c r="D22" s="1" t="s">
        <v>76</v>
      </c>
      <c r="E22" s="1"/>
      <c r="F22" s="1">
        <v>1</v>
      </c>
      <c r="G22" s="1" t="s">
        <v>76</v>
      </c>
    </row>
    <row r="23" spans="1:7" x14ac:dyDescent="0.25">
      <c r="A23" s="1" t="s">
        <v>31</v>
      </c>
      <c r="B23" s="1" t="s">
        <v>32</v>
      </c>
      <c r="C23" s="1">
        <v>1</v>
      </c>
      <c r="D23" s="1" t="s">
        <v>76</v>
      </c>
      <c r="E23" s="1"/>
      <c r="F23" s="1">
        <v>0</v>
      </c>
      <c r="G23" s="1"/>
    </row>
    <row r="24" spans="1:7" x14ac:dyDescent="0.25">
      <c r="A24" s="1" t="s">
        <v>33</v>
      </c>
      <c r="B24" s="1" t="s">
        <v>1</v>
      </c>
      <c r="C24" s="1">
        <v>0</v>
      </c>
      <c r="D24" s="1"/>
      <c r="E24" s="1"/>
      <c r="F24" s="1">
        <v>0</v>
      </c>
      <c r="G24" s="1"/>
    </row>
    <row r="25" spans="1:7" x14ac:dyDescent="0.25">
      <c r="A25" s="1" t="s">
        <v>34</v>
      </c>
      <c r="B25" s="1" t="s">
        <v>1</v>
      </c>
      <c r="C25" s="1">
        <v>0</v>
      </c>
      <c r="D25" s="1"/>
      <c r="E25" s="1"/>
      <c r="F25" s="1">
        <v>0</v>
      </c>
      <c r="G25" s="1"/>
    </row>
    <row r="26" spans="1:7" x14ac:dyDescent="0.25">
      <c r="A26" s="1" t="s">
        <v>35</v>
      </c>
      <c r="B26" s="1" t="s">
        <v>1</v>
      </c>
      <c r="C26" s="1">
        <v>0</v>
      </c>
      <c r="D26" s="1"/>
      <c r="E26" s="1"/>
      <c r="F26" s="1">
        <v>0</v>
      </c>
      <c r="G26" s="1"/>
    </row>
    <row r="27" spans="1:7" x14ac:dyDescent="0.25">
      <c r="A27" s="1" t="s">
        <v>36</v>
      </c>
      <c r="B27" s="1" t="s">
        <v>1</v>
      </c>
      <c r="C27" s="1">
        <v>0</v>
      </c>
      <c r="D27" s="1"/>
      <c r="E27" s="1"/>
      <c r="F27" s="1">
        <v>0</v>
      </c>
      <c r="G27" s="1"/>
    </row>
    <row r="28" spans="1:7" x14ac:dyDescent="0.25">
      <c r="A28" s="1" t="s">
        <v>37</v>
      </c>
      <c r="B28" s="1" t="s">
        <v>83</v>
      </c>
      <c r="C28" s="1">
        <v>2</v>
      </c>
      <c r="D28" s="1" t="s">
        <v>76</v>
      </c>
      <c r="E28" s="1" t="s">
        <v>76</v>
      </c>
      <c r="F28" s="1">
        <v>1</v>
      </c>
      <c r="G28" s="1" t="s">
        <v>76</v>
      </c>
    </row>
    <row r="29" spans="1:7" x14ac:dyDescent="0.25">
      <c r="A29" s="1" t="s">
        <v>38</v>
      </c>
      <c r="B29" s="1" t="s">
        <v>39</v>
      </c>
      <c r="C29" s="1">
        <v>0</v>
      </c>
      <c r="D29" s="1"/>
      <c r="E29" s="1"/>
      <c r="F29" s="1">
        <v>0</v>
      </c>
      <c r="G29" s="1"/>
    </row>
    <row r="30" spans="1:7" x14ac:dyDescent="0.25">
      <c r="A30" s="1" t="s">
        <v>40</v>
      </c>
      <c r="B30" s="1" t="s">
        <v>1</v>
      </c>
      <c r="C30" s="1">
        <v>0</v>
      </c>
      <c r="D30" s="1"/>
      <c r="E30" s="1"/>
      <c r="F30" s="1">
        <v>0</v>
      </c>
      <c r="G30" s="1"/>
    </row>
    <row r="31" spans="1:7" x14ac:dyDescent="0.25">
      <c r="A31" s="1" t="s">
        <v>41</v>
      </c>
      <c r="B31" s="1" t="s">
        <v>1</v>
      </c>
      <c r="C31" s="1">
        <v>0</v>
      </c>
      <c r="D31" s="1"/>
      <c r="E31" s="1"/>
      <c r="F31" s="1">
        <v>0</v>
      </c>
      <c r="G31" s="1"/>
    </row>
    <row r="32" spans="1:7" x14ac:dyDescent="0.25">
      <c r="A32" s="1" t="s">
        <v>42</v>
      </c>
      <c r="B32" s="1" t="s">
        <v>1</v>
      </c>
      <c r="C32" s="1">
        <v>0</v>
      </c>
      <c r="D32" s="1"/>
      <c r="E32" s="1"/>
      <c r="F32" s="1">
        <v>0</v>
      </c>
      <c r="G32" s="1"/>
    </row>
    <row r="33" spans="1:7" x14ac:dyDescent="0.25">
      <c r="A33" s="1" t="s">
        <v>43</v>
      </c>
      <c r="B33" s="1" t="s">
        <v>1</v>
      </c>
      <c r="C33" s="1">
        <v>0</v>
      </c>
      <c r="D33" s="1"/>
      <c r="E33" s="1"/>
      <c r="F33" s="1">
        <v>0</v>
      </c>
      <c r="G33" s="1"/>
    </row>
    <row r="34" spans="1:7" x14ac:dyDescent="0.25">
      <c r="A34" s="1" t="s">
        <v>44</v>
      </c>
      <c r="B34" s="1" t="s">
        <v>25</v>
      </c>
      <c r="C34" s="1">
        <v>1</v>
      </c>
      <c r="D34" s="1" t="s">
        <v>76</v>
      </c>
      <c r="E34" s="1"/>
      <c r="F34" s="1">
        <v>0</v>
      </c>
      <c r="G34" s="1"/>
    </row>
    <row r="35" spans="1:7" x14ac:dyDescent="0.25">
      <c r="A35" s="1" t="s">
        <v>45</v>
      </c>
      <c r="B35" s="1" t="s">
        <v>1</v>
      </c>
      <c r="C35" s="1">
        <v>0</v>
      </c>
      <c r="D35" s="1"/>
      <c r="E35" s="1"/>
      <c r="F35" s="1">
        <v>0</v>
      </c>
      <c r="G35" s="1"/>
    </row>
    <row r="36" spans="1:7" x14ac:dyDescent="0.25">
      <c r="A36" s="1" t="s">
        <v>46</v>
      </c>
      <c r="B36" s="1" t="s">
        <v>47</v>
      </c>
      <c r="C36" s="1">
        <v>0</v>
      </c>
      <c r="D36" s="1"/>
      <c r="E36" s="1"/>
      <c r="F36" s="1">
        <v>1</v>
      </c>
      <c r="G36" s="1" t="s">
        <v>76</v>
      </c>
    </row>
    <row r="37" spans="1:7" x14ac:dyDescent="0.25">
      <c r="A37" s="1" t="s">
        <v>48</v>
      </c>
      <c r="B37" s="1" t="s">
        <v>1</v>
      </c>
      <c r="C37" s="1">
        <v>0</v>
      </c>
      <c r="D37" s="1"/>
      <c r="E37" s="1"/>
      <c r="F37" s="1">
        <v>0</v>
      </c>
      <c r="G37" s="1"/>
    </row>
    <row r="38" spans="1:7" x14ac:dyDescent="0.25">
      <c r="A38" s="1" t="s">
        <v>49</v>
      </c>
      <c r="B38" s="1" t="s">
        <v>1</v>
      </c>
      <c r="C38" s="1">
        <v>0</v>
      </c>
      <c r="D38" s="1"/>
      <c r="E38" s="1"/>
      <c r="F38" s="1">
        <v>0</v>
      </c>
      <c r="G38" s="1"/>
    </row>
    <row r="39" spans="1:7" x14ac:dyDescent="0.25">
      <c r="A39" s="1" t="s">
        <v>50</v>
      </c>
      <c r="B39" s="1" t="s">
        <v>51</v>
      </c>
      <c r="C39" s="1">
        <v>0</v>
      </c>
      <c r="D39" s="1"/>
      <c r="E39" s="1"/>
      <c r="F39" s="1">
        <v>1</v>
      </c>
      <c r="G39" s="1" t="s">
        <v>76</v>
      </c>
    </row>
    <row r="40" spans="1:7" x14ac:dyDescent="0.25">
      <c r="A40" s="1" t="s">
        <v>52</v>
      </c>
      <c r="B40" s="1" t="s">
        <v>1</v>
      </c>
      <c r="C40" s="1">
        <v>0</v>
      </c>
      <c r="D40" s="1"/>
      <c r="E40" s="1"/>
      <c r="F40" s="1">
        <v>0</v>
      </c>
      <c r="G40" s="1"/>
    </row>
    <row r="41" spans="1:7" x14ac:dyDescent="0.25">
      <c r="A41" s="1" t="s">
        <v>53</v>
      </c>
      <c r="B41" s="1" t="s">
        <v>1</v>
      </c>
      <c r="C41" s="1">
        <v>0</v>
      </c>
      <c r="D41" s="1"/>
      <c r="E41" s="1"/>
      <c r="F41" s="1">
        <v>0</v>
      </c>
      <c r="G41" s="1"/>
    </row>
    <row r="42" spans="1:7" x14ac:dyDescent="0.25">
      <c r="A42" s="1" t="s">
        <v>54</v>
      </c>
      <c r="B42" s="1" t="s">
        <v>79</v>
      </c>
      <c r="C42" s="1">
        <v>1</v>
      </c>
      <c r="D42" s="1" t="s">
        <v>74</v>
      </c>
      <c r="E42" s="1"/>
      <c r="F42" s="1">
        <v>0</v>
      </c>
      <c r="G42" s="1"/>
    </row>
    <row r="43" spans="1:7" x14ac:dyDescent="0.25">
      <c r="A43" s="1" t="s">
        <v>55</v>
      </c>
      <c r="B43" s="1" t="s">
        <v>56</v>
      </c>
      <c r="C43" s="1">
        <v>0</v>
      </c>
      <c r="D43" s="1"/>
      <c r="E43" s="1"/>
      <c r="F43" s="1">
        <v>4</v>
      </c>
      <c r="G43" s="1" t="s">
        <v>76</v>
      </c>
    </row>
    <row r="44" spans="1:7" x14ac:dyDescent="0.25">
      <c r="A44" s="1" t="s">
        <v>57</v>
      </c>
      <c r="B44" s="1" t="s">
        <v>1</v>
      </c>
      <c r="C44" s="1">
        <v>0</v>
      </c>
      <c r="D44" s="1"/>
      <c r="E44" s="1"/>
      <c r="F44" s="1">
        <v>0</v>
      </c>
      <c r="G44" s="1"/>
    </row>
    <row r="45" spans="1:7" x14ac:dyDescent="0.25">
      <c r="A45" s="1" t="s">
        <v>58</v>
      </c>
      <c r="B45" s="1" t="s">
        <v>59</v>
      </c>
      <c r="C45" s="1">
        <v>1</v>
      </c>
      <c r="D45" s="1" t="s">
        <v>76</v>
      </c>
      <c r="E45" s="1"/>
      <c r="F45" s="1">
        <v>0</v>
      </c>
      <c r="G45" s="1"/>
    </row>
    <row r="46" spans="1:7" x14ac:dyDescent="0.25">
      <c r="A46" s="1" t="s">
        <v>60</v>
      </c>
      <c r="B46" s="1" t="s">
        <v>61</v>
      </c>
      <c r="C46" s="1">
        <v>1</v>
      </c>
      <c r="D46" s="1" t="s">
        <v>76</v>
      </c>
      <c r="E46" s="1"/>
      <c r="F46" s="1">
        <v>0</v>
      </c>
      <c r="G46" s="1"/>
    </row>
    <row r="47" spans="1:7" x14ac:dyDescent="0.25">
      <c r="A47" s="1" t="s">
        <v>62</v>
      </c>
      <c r="B47" s="1" t="s">
        <v>63</v>
      </c>
      <c r="C47" s="1">
        <v>2</v>
      </c>
      <c r="D47" s="1" t="s">
        <v>76</v>
      </c>
      <c r="E47" s="1" t="s">
        <v>76</v>
      </c>
      <c r="F47" s="1">
        <v>1</v>
      </c>
      <c r="G47" s="1" t="s">
        <v>76</v>
      </c>
    </row>
    <row r="48" spans="1:7" x14ac:dyDescent="0.25">
      <c r="A48" s="1" t="s">
        <v>64</v>
      </c>
      <c r="B48" s="1" t="s">
        <v>1</v>
      </c>
      <c r="C48" s="1">
        <v>0</v>
      </c>
      <c r="D48" s="1"/>
      <c r="E48" s="1"/>
      <c r="F48" s="1">
        <v>0</v>
      </c>
      <c r="G48" s="1"/>
    </row>
    <row r="49" spans="1:7" x14ac:dyDescent="0.25">
      <c r="A49" s="1" t="s">
        <v>65</v>
      </c>
      <c r="B49" s="1" t="s">
        <v>59</v>
      </c>
      <c r="C49" s="1">
        <v>1</v>
      </c>
      <c r="D49" s="1" t="s">
        <v>76</v>
      </c>
      <c r="E49" s="1"/>
      <c r="F49" s="1">
        <v>0</v>
      </c>
      <c r="G49" s="1"/>
    </row>
    <row r="50" spans="1:7" x14ac:dyDescent="0.25">
      <c r="A50" s="1" t="s">
        <v>66</v>
      </c>
      <c r="B50" s="1" t="s">
        <v>1</v>
      </c>
      <c r="C50" s="1">
        <v>0</v>
      </c>
      <c r="D50" s="1"/>
      <c r="E50" s="1"/>
      <c r="F50" s="1">
        <v>0</v>
      </c>
      <c r="G50" s="1"/>
    </row>
    <row r="51" spans="1:7" x14ac:dyDescent="0.25">
      <c r="A51" s="1" t="s">
        <v>67</v>
      </c>
      <c r="B51" s="1" t="s">
        <v>68</v>
      </c>
      <c r="C51" s="1">
        <v>0</v>
      </c>
      <c r="D51" s="1"/>
      <c r="E51" s="1"/>
      <c r="F51" s="1">
        <v>1</v>
      </c>
      <c r="G51" s="1" t="s">
        <v>76</v>
      </c>
    </row>
    <row r="53" spans="1:7" x14ac:dyDescent="0.25">
      <c r="B53" s="2" t="s">
        <v>71</v>
      </c>
      <c r="C53">
        <f>SUM(notes[Misclassifications])</f>
        <v>21</v>
      </c>
      <c r="E53" t="s">
        <v>84</v>
      </c>
      <c r="F53">
        <f>SUM(notes[Fake ambiguities])</f>
        <v>17</v>
      </c>
    </row>
    <row r="54" spans="1:7" x14ac:dyDescent="0.25">
      <c r="B54" s="2" t="s">
        <v>80</v>
      </c>
      <c r="C54">
        <f>1-C53/250</f>
        <v>0.91600000000000004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EC58-3CBD-4F0C-8AFC-D3B14ED2C4C2}">
  <dimension ref="A1:C279"/>
  <sheetViews>
    <sheetView workbookViewId="0"/>
  </sheetViews>
  <sheetFormatPr defaultRowHeight="12.5" x14ac:dyDescent="0.25"/>
  <cols>
    <col min="1" max="1" width="19.1796875" customWidth="1"/>
    <col min="2" max="2" width="15.1796875" bestFit="1" customWidth="1"/>
    <col min="3" max="3" width="23.1796875" bestFit="1" customWidth="1"/>
    <col min="4" max="4" width="19.36328125" bestFit="1" customWidth="1"/>
    <col min="5" max="5" width="17.7265625" bestFit="1" customWidth="1"/>
  </cols>
  <sheetData>
    <row r="1" spans="1:3" s="3" customFormat="1" ht="13" x14ac:dyDescent="0.3">
      <c r="A1" s="3" t="s">
        <v>86</v>
      </c>
      <c r="B1" s="3" t="s">
        <v>87</v>
      </c>
      <c r="C1" s="3" t="s">
        <v>88</v>
      </c>
    </row>
    <row r="2" spans="1:3" x14ac:dyDescent="0.25">
      <c r="A2">
        <v>2931</v>
      </c>
      <c r="B2">
        <v>1800</v>
      </c>
      <c r="C2">
        <f>A2+B2</f>
        <v>4731</v>
      </c>
    </row>
    <row r="3" spans="1:3" x14ac:dyDescent="0.25">
      <c r="A3">
        <v>2292</v>
      </c>
      <c r="B3">
        <v>1311</v>
      </c>
      <c r="C3">
        <f t="shared" ref="C3:C66" si="0">A3+B3</f>
        <v>3603</v>
      </c>
    </row>
    <row r="4" spans="1:3" x14ac:dyDescent="0.25">
      <c r="A4">
        <v>2322</v>
      </c>
      <c r="B4">
        <v>1274</v>
      </c>
      <c r="C4">
        <f t="shared" si="0"/>
        <v>3596</v>
      </c>
    </row>
    <row r="5" spans="1:3" x14ac:dyDescent="0.25">
      <c r="A5">
        <v>2256</v>
      </c>
      <c r="B5">
        <v>1255</v>
      </c>
      <c r="C5">
        <f t="shared" si="0"/>
        <v>3511</v>
      </c>
    </row>
    <row r="6" spans="1:3" x14ac:dyDescent="0.25">
      <c r="A6">
        <v>2285</v>
      </c>
      <c r="B6">
        <v>1396</v>
      </c>
      <c r="C6">
        <f t="shared" si="0"/>
        <v>3681</v>
      </c>
    </row>
    <row r="7" spans="1:3" x14ac:dyDescent="0.25">
      <c r="A7">
        <v>2340</v>
      </c>
      <c r="B7">
        <v>1460</v>
      </c>
      <c r="C7">
        <f t="shared" si="0"/>
        <v>3800</v>
      </c>
    </row>
    <row r="8" spans="1:3" x14ac:dyDescent="0.25">
      <c r="A8">
        <v>2428</v>
      </c>
      <c r="B8">
        <v>1605</v>
      </c>
      <c r="C8">
        <f t="shared" si="0"/>
        <v>4033</v>
      </c>
    </row>
    <row r="9" spans="1:3" x14ac:dyDescent="0.25">
      <c r="A9">
        <v>2342</v>
      </c>
      <c r="B9">
        <v>1679</v>
      </c>
      <c r="C9">
        <f t="shared" si="0"/>
        <v>4021</v>
      </c>
    </row>
    <row r="10" spans="1:3" x14ac:dyDescent="0.25">
      <c r="A10">
        <v>2420</v>
      </c>
      <c r="B10">
        <v>1444</v>
      </c>
      <c r="C10">
        <f t="shared" si="0"/>
        <v>3864</v>
      </c>
    </row>
    <row r="11" spans="1:3" x14ac:dyDescent="0.25">
      <c r="A11">
        <v>2283</v>
      </c>
      <c r="B11">
        <v>1291</v>
      </c>
      <c r="C11">
        <f t="shared" si="0"/>
        <v>3574</v>
      </c>
    </row>
    <row r="12" spans="1:3" x14ac:dyDescent="0.25">
      <c r="A12">
        <v>2816</v>
      </c>
      <c r="B12">
        <v>1628</v>
      </c>
      <c r="C12">
        <f t="shared" si="0"/>
        <v>4444</v>
      </c>
    </row>
    <row r="13" spans="1:3" x14ac:dyDescent="0.25">
      <c r="A13">
        <v>2340</v>
      </c>
      <c r="B13">
        <v>1280</v>
      </c>
      <c r="C13">
        <f t="shared" si="0"/>
        <v>3620</v>
      </c>
    </row>
    <row r="14" spans="1:3" x14ac:dyDescent="0.25">
      <c r="A14">
        <v>2289</v>
      </c>
      <c r="B14">
        <v>1281</v>
      </c>
      <c r="C14">
        <f t="shared" si="0"/>
        <v>3570</v>
      </c>
    </row>
    <row r="15" spans="1:3" x14ac:dyDescent="0.25">
      <c r="A15">
        <v>2437</v>
      </c>
      <c r="B15">
        <v>1360</v>
      </c>
      <c r="C15">
        <f t="shared" si="0"/>
        <v>3797</v>
      </c>
    </row>
    <row r="16" spans="1:3" x14ac:dyDescent="0.25">
      <c r="A16">
        <v>2308</v>
      </c>
      <c r="B16">
        <v>1534</v>
      </c>
      <c r="C16">
        <f t="shared" si="0"/>
        <v>3842</v>
      </c>
    </row>
    <row r="17" spans="1:3" x14ac:dyDescent="0.25">
      <c r="A17">
        <v>2489</v>
      </c>
      <c r="B17">
        <v>1664</v>
      </c>
      <c r="C17">
        <f t="shared" si="0"/>
        <v>4153</v>
      </c>
    </row>
    <row r="18" spans="1:3" x14ac:dyDescent="0.25">
      <c r="A18">
        <v>2347</v>
      </c>
      <c r="B18">
        <v>1241</v>
      </c>
      <c r="C18">
        <f t="shared" si="0"/>
        <v>3588</v>
      </c>
    </row>
    <row r="19" spans="1:3" x14ac:dyDescent="0.25">
      <c r="A19">
        <v>2429</v>
      </c>
      <c r="B19">
        <v>1239</v>
      </c>
      <c r="C19">
        <f t="shared" si="0"/>
        <v>3668</v>
      </c>
    </row>
    <row r="20" spans="1:3" x14ac:dyDescent="0.25">
      <c r="A20">
        <v>2290</v>
      </c>
      <c r="B20">
        <v>1272</v>
      </c>
      <c r="C20">
        <f t="shared" si="0"/>
        <v>3562</v>
      </c>
    </row>
    <row r="21" spans="1:3" x14ac:dyDescent="0.25">
      <c r="A21">
        <v>2298</v>
      </c>
      <c r="B21">
        <v>1258</v>
      </c>
      <c r="C21">
        <f t="shared" si="0"/>
        <v>3556</v>
      </c>
    </row>
    <row r="22" spans="1:3" x14ac:dyDescent="0.25">
      <c r="A22">
        <v>2341</v>
      </c>
      <c r="B22">
        <v>1275</v>
      </c>
      <c r="C22">
        <f t="shared" si="0"/>
        <v>3616</v>
      </c>
    </row>
    <row r="23" spans="1:3" x14ac:dyDescent="0.25">
      <c r="A23">
        <v>2645</v>
      </c>
      <c r="B23">
        <v>1280</v>
      </c>
      <c r="C23">
        <f t="shared" si="0"/>
        <v>3925</v>
      </c>
    </row>
    <row r="24" spans="1:3" x14ac:dyDescent="0.25">
      <c r="A24">
        <v>2344</v>
      </c>
      <c r="B24">
        <v>1258</v>
      </c>
      <c r="C24">
        <f t="shared" si="0"/>
        <v>3602</v>
      </c>
    </row>
    <row r="25" spans="1:3" x14ac:dyDescent="0.25">
      <c r="A25">
        <v>2419</v>
      </c>
      <c r="B25">
        <v>1296</v>
      </c>
      <c r="C25">
        <f t="shared" si="0"/>
        <v>3715</v>
      </c>
    </row>
    <row r="26" spans="1:3" x14ac:dyDescent="0.25">
      <c r="A26">
        <v>2305</v>
      </c>
      <c r="B26">
        <v>1257</v>
      </c>
      <c r="C26">
        <f t="shared" si="0"/>
        <v>3562</v>
      </c>
    </row>
    <row r="27" spans="1:3" x14ac:dyDescent="0.25">
      <c r="A27">
        <v>2335</v>
      </c>
      <c r="B27">
        <v>1253</v>
      </c>
      <c r="C27">
        <f t="shared" si="0"/>
        <v>3588</v>
      </c>
    </row>
    <row r="28" spans="1:3" x14ac:dyDescent="0.25">
      <c r="A28">
        <v>2294</v>
      </c>
      <c r="B28">
        <v>1400</v>
      </c>
      <c r="C28">
        <f t="shared" si="0"/>
        <v>3694</v>
      </c>
    </row>
    <row r="29" spans="1:3" x14ac:dyDescent="0.25">
      <c r="A29">
        <v>2333</v>
      </c>
      <c r="B29">
        <v>1298</v>
      </c>
      <c r="C29">
        <f t="shared" si="0"/>
        <v>3631</v>
      </c>
    </row>
    <row r="30" spans="1:3" x14ac:dyDescent="0.25">
      <c r="A30">
        <v>2416</v>
      </c>
      <c r="B30">
        <v>1252</v>
      </c>
      <c r="C30">
        <f t="shared" si="0"/>
        <v>3668</v>
      </c>
    </row>
    <row r="31" spans="1:3" x14ac:dyDescent="0.25">
      <c r="A31">
        <v>2305</v>
      </c>
      <c r="B31">
        <v>1272</v>
      </c>
      <c r="C31">
        <f t="shared" si="0"/>
        <v>3577</v>
      </c>
    </row>
    <row r="32" spans="1:3" x14ac:dyDescent="0.25">
      <c r="A32">
        <v>2344</v>
      </c>
      <c r="B32">
        <v>1250</v>
      </c>
      <c r="C32">
        <f t="shared" si="0"/>
        <v>3594</v>
      </c>
    </row>
    <row r="33" spans="1:3" x14ac:dyDescent="0.25">
      <c r="A33">
        <v>2419</v>
      </c>
      <c r="B33">
        <v>1262</v>
      </c>
      <c r="C33">
        <f t="shared" si="0"/>
        <v>3681</v>
      </c>
    </row>
    <row r="34" spans="1:3" x14ac:dyDescent="0.25">
      <c r="A34">
        <v>2464</v>
      </c>
      <c r="B34">
        <v>1260</v>
      </c>
      <c r="C34">
        <f t="shared" si="0"/>
        <v>3724</v>
      </c>
    </row>
    <row r="35" spans="1:3" x14ac:dyDescent="0.25">
      <c r="A35">
        <v>2300</v>
      </c>
      <c r="B35">
        <v>1252</v>
      </c>
      <c r="C35">
        <f t="shared" si="0"/>
        <v>3552</v>
      </c>
    </row>
    <row r="36" spans="1:3" x14ac:dyDescent="0.25">
      <c r="A36">
        <v>2295</v>
      </c>
      <c r="B36">
        <v>1270</v>
      </c>
      <c r="C36">
        <f t="shared" si="0"/>
        <v>3565</v>
      </c>
    </row>
    <row r="37" spans="1:3" x14ac:dyDescent="0.25">
      <c r="A37">
        <v>2279</v>
      </c>
      <c r="B37">
        <v>1272</v>
      </c>
      <c r="C37">
        <f t="shared" si="0"/>
        <v>3551</v>
      </c>
    </row>
    <row r="38" spans="1:3" x14ac:dyDescent="0.25">
      <c r="A38">
        <v>2288</v>
      </c>
      <c r="B38">
        <v>1277</v>
      </c>
      <c r="C38">
        <f t="shared" si="0"/>
        <v>3565</v>
      </c>
    </row>
    <row r="39" spans="1:3" x14ac:dyDescent="0.25">
      <c r="A39">
        <v>2291</v>
      </c>
      <c r="B39">
        <v>1660</v>
      </c>
      <c r="C39">
        <f t="shared" si="0"/>
        <v>3951</v>
      </c>
    </row>
    <row r="40" spans="1:3" x14ac:dyDescent="0.25">
      <c r="A40">
        <v>2429</v>
      </c>
      <c r="B40">
        <v>1255</v>
      </c>
      <c r="C40">
        <f t="shared" si="0"/>
        <v>3684</v>
      </c>
    </row>
    <row r="41" spans="1:3" x14ac:dyDescent="0.25">
      <c r="A41">
        <v>2286</v>
      </c>
      <c r="B41">
        <v>1275</v>
      </c>
      <c r="C41">
        <f t="shared" si="0"/>
        <v>3561</v>
      </c>
    </row>
    <row r="42" spans="1:3" x14ac:dyDescent="0.25">
      <c r="A42">
        <v>2416</v>
      </c>
      <c r="B42">
        <v>1249</v>
      </c>
      <c r="C42">
        <f t="shared" si="0"/>
        <v>3665</v>
      </c>
    </row>
    <row r="43" spans="1:3" x14ac:dyDescent="0.25">
      <c r="A43">
        <v>2425</v>
      </c>
      <c r="B43">
        <v>1277</v>
      </c>
      <c r="C43">
        <f t="shared" si="0"/>
        <v>3702</v>
      </c>
    </row>
    <row r="44" spans="1:3" x14ac:dyDescent="0.25">
      <c r="A44">
        <v>2412</v>
      </c>
      <c r="B44">
        <v>1282</v>
      </c>
      <c r="C44">
        <f t="shared" si="0"/>
        <v>3694</v>
      </c>
    </row>
    <row r="45" spans="1:3" x14ac:dyDescent="0.25">
      <c r="A45">
        <v>2414</v>
      </c>
      <c r="B45">
        <v>1249</v>
      </c>
      <c r="C45">
        <f t="shared" si="0"/>
        <v>3663</v>
      </c>
    </row>
    <row r="46" spans="1:3" x14ac:dyDescent="0.25">
      <c r="A46">
        <v>2818</v>
      </c>
      <c r="B46">
        <v>1752</v>
      </c>
      <c r="C46">
        <f t="shared" si="0"/>
        <v>4570</v>
      </c>
    </row>
    <row r="47" spans="1:3" x14ac:dyDescent="0.25">
      <c r="A47">
        <v>2286</v>
      </c>
      <c r="B47">
        <v>1420</v>
      </c>
      <c r="C47">
        <f t="shared" si="0"/>
        <v>3706</v>
      </c>
    </row>
    <row r="48" spans="1:3" x14ac:dyDescent="0.25">
      <c r="A48">
        <v>2414</v>
      </c>
      <c r="B48">
        <v>1521</v>
      </c>
      <c r="C48">
        <f t="shared" si="0"/>
        <v>3935</v>
      </c>
    </row>
    <row r="49" spans="1:3" x14ac:dyDescent="0.25">
      <c r="A49">
        <v>2265</v>
      </c>
      <c r="B49">
        <v>1671</v>
      </c>
      <c r="C49">
        <f t="shared" si="0"/>
        <v>3936</v>
      </c>
    </row>
    <row r="50" spans="1:3" x14ac:dyDescent="0.25">
      <c r="A50">
        <v>2431</v>
      </c>
      <c r="B50">
        <v>1587</v>
      </c>
      <c r="C50">
        <f t="shared" si="0"/>
        <v>4018</v>
      </c>
    </row>
    <row r="51" spans="1:3" x14ac:dyDescent="0.25">
      <c r="A51">
        <v>2289</v>
      </c>
      <c r="B51">
        <v>1698</v>
      </c>
      <c r="C51">
        <f t="shared" si="0"/>
        <v>3987</v>
      </c>
    </row>
    <row r="52" spans="1:3" x14ac:dyDescent="0.25">
      <c r="A52">
        <v>2399</v>
      </c>
      <c r="B52">
        <v>1437</v>
      </c>
      <c r="C52">
        <f t="shared" si="0"/>
        <v>3836</v>
      </c>
    </row>
    <row r="53" spans="1:3" x14ac:dyDescent="0.25">
      <c r="A53">
        <v>2293</v>
      </c>
      <c r="B53">
        <v>1486</v>
      </c>
      <c r="C53">
        <f t="shared" si="0"/>
        <v>3779</v>
      </c>
    </row>
    <row r="54" spans="1:3" x14ac:dyDescent="0.25">
      <c r="A54">
        <v>2297</v>
      </c>
      <c r="B54">
        <v>1607</v>
      </c>
      <c r="C54">
        <f t="shared" si="0"/>
        <v>3904</v>
      </c>
    </row>
    <row r="55" spans="1:3" x14ac:dyDescent="0.25">
      <c r="A55">
        <v>2295</v>
      </c>
      <c r="B55">
        <v>1649</v>
      </c>
      <c r="C55">
        <f t="shared" si="0"/>
        <v>3944</v>
      </c>
    </row>
    <row r="56" spans="1:3" x14ac:dyDescent="0.25">
      <c r="A56">
        <v>2398</v>
      </c>
      <c r="B56">
        <v>1649</v>
      </c>
      <c r="C56">
        <f t="shared" si="0"/>
        <v>4047</v>
      </c>
    </row>
    <row r="57" spans="1:3" x14ac:dyDescent="0.25">
      <c r="A57">
        <v>2285</v>
      </c>
      <c r="B57">
        <v>1698</v>
      </c>
      <c r="C57">
        <f t="shared" si="0"/>
        <v>3983</v>
      </c>
    </row>
    <row r="58" spans="1:3" x14ac:dyDescent="0.25">
      <c r="A58">
        <v>2418</v>
      </c>
      <c r="B58">
        <v>1350</v>
      </c>
      <c r="C58">
        <f t="shared" si="0"/>
        <v>3768</v>
      </c>
    </row>
    <row r="59" spans="1:3" x14ac:dyDescent="0.25">
      <c r="A59">
        <v>2425</v>
      </c>
      <c r="B59">
        <v>1397</v>
      </c>
      <c r="C59">
        <f t="shared" si="0"/>
        <v>3822</v>
      </c>
    </row>
    <row r="60" spans="1:3" x14ac:dyDescent="0.25">
      <c r="A60">
        <v>2436</v>
      </c>
      <c r="B60">
        <v>1279</v>
      </c>
      <c r="C60">
        <f t="shared" si="0"/>
        <v>3715</v>
      </c>
    </row>
    <row r="61" spans="1:3" x14ac:dyDescent="0.25">
      <c r="A61">
        <v>2427</v>
      </c>
      <c r="B61">
        <v>1354</v>
      </c>
      <c r="C61">
        <f t="shared" si="0"/>
        <v>3781</v>
      </c>
    </row>
    <row r="62" spans="1:3" x14ac:dyDescent="0.25">
      <c r="A62">
        <v>2303</v>
      </c>
      <c r="B62">
        <v>1247</v>
      </c>
      <c r="C62">
        <f t="shared" si="0"/>
        <v>3550</v>
      </c>
    </row>
    <row r="63" spans="1:3" x14ac:dyDescent="0.25">
      <c r="A63">
        <v>2412</v>
      </c>
      <c r="B63">
        <v>1504</v>
      </c>
      <c r="C63">
        <f t="shared" si="0"/>
        <v>3916</v>
      </c>
    </row>
    <row r="64" spans="1:3" x14ac:dyDescent="0.25">
      <c r="A64">
        <v>2302</v>
      </c>
      <c r="B64">
        <v>1403</v>
      </c>
      <c r="C64">
        <f t="shared" si="0"/>
        <v>3705</v>
      </c>
    </row>
    <row r="65" spans="1:3" x14ac:dyDescent="0.25">
      <c r="A65">
        <v>2298</v>
      </c>
      <c r="B65">
        <v>1427</v>
      </c>
      <c r="C65">
        <f t="shared" si="0"/>
        <v>3725</v>
      </c>
    </row>
    <row r="66" spans="1:3" x14ac:dyDescent="0.25">
      <c r="A66">
        <v>2291</v>
      </c>
      <c r="B66">
        <v>1548</v>
      </c>
      <c r="C66">
        <f t="shared" si="0"/>
        <v>3839</v>
      </c>
    </row>
    <row r="67" spans="1:3" x14ac:dyDescent="0.25">
      <c r="A67">
        <v>2287</v>
      </c>
      <c r="B67">
        <v>1323</v>
      </c>
      <c r="C67">
        <f t="shared" ref="C67:C130" si="1">A67+B67</f>
        <v>3610</v>
      </c>
    </row>
    <row r="68" spans="1:3" x14ac:dyDescent="0.25">
      <c r="A68">
        <v>2431</v>
      </c>
      <c r="B68">
        <v>1271</v>
      </c>
      <c r="C68">
        <f t="shared" si="1"/>
        <v>3702</v>
      </c>
    </row>
    <row r="69" spans="1:3" x14ac:dyDescent="0.25">
      <c r="A69">
        <v>2440</v>
      </c>
      <c r="B69">
        <v>1262</v>
      </c>
      <c r="C69">
        <f t="shared" si="1"/>
        <v>3702</v>
      </c>
    </row>
    <row r="70" spans="1:3" x14ac:dyDescent="0.25">
      <c r="A70">
        <v>2287</v>
      </c>
      <c r="B70">
        <v>1288</v>
      </c>
      <c r="C70">
        <f t="shared" si="1"/>
        <v>3575</v>
      </c>
    </row>
    <row r="71" spans="1:3" x14ac:dyDescent="0.25">
      <c r="A71">
        <v>2420</v>
      </c>
      <c r="B71">
        <v>1502</v>
      </c>
      <c r="C71">
        <f t="shared" si="1"/>
        <v>3922</v>
      </c>
    </row>
    <row r="72" spans="1:3" x14ac:dyDescent="0.25">
      <c r="A72">
        <v>2300</v>
      </c>
      <c r="B72">
        <v>1389</v>
      </c>
      <c r="C72">
        <f t="shared" si="1"/>
        <v>3689</v>
      </c>
    </row>
    <row r="73" spans="1:3" x14ac:dyDescent="0.25">
      <c r="A73">
        <v>2424</v>
      </c>
      <c r="B73">
        <v>1427</v>
      </c>
      <c r="C73">
        <f t="shared" si="1"/>
        <v>3851</v>
      </c>
    </row>
    <row r="74" spans="1:3" x14ac:dyDescent="0.25">
      <c r="A74">
        <v>2299</v>
      </c>
      <c r="B74">
        <v>1428</v>
      </c>
      <c r="C74">
        <f t="shared" si="1"/>
        <v>3727</v>
      </c>
    </row>
    <row r="75" spans="1:3" x14ac:dyDescent="0.25">
      <c r="A75">
        <v>2297</v>
      </c>
      <c r="B75">
        <v>1562</v>
      </c>
      <c r="C75">
        <f t="shared" si="1"/>
        <v>3859</v>
      </c>
    </row>
    <row r="76" spans="1:3" x14ac:dyDescent="0.25">
      <c r="A76">
        <v>2303</v>
      </c>
      <c r="B76">
        <v>1484</v>
      </c>
      <c r="C76">
        <f t="shared" si="1"/>
        <v>3787</v>
      </c>
    </row>
    <row r="77" spans="1:3" x14ac:dyDescent="0.25">
      <c r="A77">
        <v>2307</v>
      </c>
      <c r="B77">
        <v>1479</v>
      </c>
      <c r="C77">
        <f t="shared" si="1"/>
        <v>3786</v>
      </c>
    </row>
    <row r="78" spans="1:3" x14ac:dyDescent="0.25">
      <c r="A78">
        <v>2439</v>
      </c>
      <c r="B78">
        <v>1292</v>
      </c>
      <c r="C78">
        <f t="shared" si="1"/>
        <v>3731</v>
      </c>
    </row>
    <row r="79" spans="1:3" x14ac:dyDescent="0.25">
      <c r="A79">
        <v>2431</v>
      </c>
      <c r="B79">
        <v>1408</v>
      </c>
      <c r="C79">
        <f t="shared" si="1"/>
        <v>3839</v>
      </c>
    </row>
    <row r="80" spans="1:3" x14ac:dyDescent="0.25">
      <c r="A80">
        <v>2434</v>
      </c>
      <c r="B80">
        <v>1417</v>
      </c>
      <c r="C80">
        <f t="shared" si="1"/>
        <v>3851</v>
      </c>
    </row>
    <row r="81" spans="1:3" x14ac:dyDescent="0.25">
      <c r="A81">
        <v>2295</v>
      </c>
      <c r="B81">
        <v>1502</v>
      </c>
      <c r="C81">
        <f t="shared" si="1"/>
        <v>3797</v>
      </c>
    </row>
    <row r="82" spans="1:3" x14ac:dyDescent="0.25">
      <c r="A82">
        <v>2289</v>
      </c>
      <c r="B82">
        <v>1475</v>
      </c>
      <c r="C82">
        <f t="shared" si="1"/>
        <v>3764</v>
      </c>
    </row>
    <row r="83" spans="1:3" x14ac:dyDescent="0.25">
      <c r="A83">
        <v>2436</v>
      </c>
      <c r="B83">
        <v>1418</v>
      </c>
      <c r="C83">
        <f t="shared" si="1"/>
        <v>3854</v>
      </c>
    </row>
    <row r="84" spans="1:3" x14ac:dyDescent="0.25">
      <c r="A84">
        <v>2414</v>
      </c>
      <c r="B84">
        <v>1465</v>
      </c>
      <c r="C84">
        <f t="shared" si="1"/>
        <v>3879</v>
      </c>
    </row>
    <row r="85" spans="1:3" x14ac:dyDescent="0.25">
      <c r="A85">
        <v>2314</v>
      </c>
      <c r="B85">
        <v>1657</v>
      </c>
      <c r="C85">
        <f t="shared" si="1"/>
        <v>3971</v>
      </c>
    </row>
    <row r="86" spans="1:3" x14ac:dyDescent="0.25">
      <c r="A86">
        <v>2433</v>
      </c>
      <c r="B86">
        <v>1553</v>
      </c>
      <c r="C86">
        <f t="shared" si="1"/>
        <v>3986</v>
      </c>
    </row>
    <row r="87" spans="1:3" x14ac:dyDescent="0.25">
      <c r="A87">
        <v>2291</v>
      </c>
      <c r="B87">
        <v>1430</v>
      </c>
      <c r="C87">
        <f t="shared" si="1"/>
        <v>3721</v>
      </c>
    </row>
    <row r="88" spans="1:3" x14ac:dyDescent="0.25">
      <c r="A88">
        <v>2271</v>
      </c>
      <c r="B88">
        <v>1705</v>
      </c>
      <c r="C88">
        <f t="shared" si="1"/>
        <v>3976</v>
      </c>
    </row>
    <row r="89" spans="1:3" x14ac:dyDescent="0.25">
      <c r="A89">
        <v>2294</v>
      </c>
      <c r="B89">
        <v>1357</v>
      </c>
      <c r="C89">
        <f t="shared" si="1"/>
        <v>3651</v>
      </c>
    </row>
    <row r="90" spans="1:3" x14ac:dyDescent="0.25">
      <c r="A90">
        <v>2302</v>
      </c>
      <c r="B90">
        <v>1440</v>
      </c>
      <c r="C90">
        <f t="shared" si="1"/>
        <v>3742</v>
      </c>
    </row>
    <row r="91" spans="1:3" x14ac:dyDescent="0.25">
      <c r="A91">
        <v>2433</v>
      </c>
      <c r="B91">
        <v>1576</v>
      </c>
      <c r="C91">
        <f t="shared" si="1"/>
        <v>4009</v>
      </c>
    </row>
    <row r="92" spans="1:3" x14ac:dyDescent="0.25">
      <c r="A92">
        <v>2299</v>
      </c>
      <c r="B92">
        <v>1502</v>
      </c>
      <c r="C92">
        <f t="shared" si="1"/>
        <v>3801</v>
      </c>
    </row>
    <row r="93" spans="1:3" x14ac:dyDescent="0.25">
      <c r="A93">
        <v>2831</v>
      </c>
      <c r="B93">
        <v>1777</v>
      </c>
      <c r="C93">
        <f t="shared" si="1"/>
        <v>4608</v>
      </c>
    </row>
    <row r="94" spans="1:3" x14ac:dyDescent="0.25">
      <c r="A94">
        <v>2354</v>
      </c>
      <c r="B94">
        <v>1261</v>
      </c>
      <c r="C94">
        <f t="shared" si="1"/>
        <v>3615</v>
      </c>
    </row>
    <row r="95" spans="1:3" x14ac:dyDescent="0.25">
      <c r="A95">
        <v>2339</v>
      </c>
      <c r="B95">
        <v>1364</v>
      </c>
      <c r="C95">
        <f t="shared" si="1"/>
        <v>3703</v>
      </c>
    </row>
    <row r="96" spans="1:3" x14ac:dyDescent="0.25">
      <c r="A96">
        <v>2477</v>
      </c>
      <c r="B96">
        <v>1404</v>
      </c>
      <c r="C96">
        <f t="shared" si="1"/>
        <v>3881</v>
      </c>
    </row>
    <row r="97" spans="1:3" x14ac:dyDescent="0.25">
      <c r="A97">
        <v>2354</v>
      </c>
      <c r="B97">
        <v>1538</v>
      </c>
      <c r="C97">
        <f t="shared" si="1"/>
        <v>3892</v>
      </c>
    </row>
    <row r="98" spans="1:3" x14ac:dyDescent="0.25">
      <c r="A98">
        <v>2362</v>
      </c>
      <c r="B98">
        <v>1455</v>
      </c>
      <c r="C98">
        <f t="shared" si="1"/>
        <v>3817</v>
      </c>
    </row>
    <row r="99" spans="1:3" x14ac:dyDescent="0.25">
      <c r="A99">
        <v>2356</v>
      </c>
      <c r="B99">
        <v>1645</v>
      </c>
      <c r="C99">
        <f t="shared" si="1"/>
        <v>4001</v>
      </c>
    </row>
    <row r="100" spans="1:3" x14ac:dyDescent="0.25">
      <c r="A100">
        <v>2318</v>
      </c>
      <c r="B100">
        <v>1680</v>
      </c>
      <c r="C100">
        <f t="shared" si="1"/>
        <v>3998</v>
      </c>
    </row>
    <row r="101" spans="1:3" x14ac:dyDescent="0.25">
      <c r="A101">
        <v>2475</v>
      </c>
      <c r="B101">
        <v>1614</v>
      </c>
      <c r="C101">
        <f t="shared" si="1"/>
        <v>4089</v>
      </c>
    </row>
    <row r="102" spans="1:3" x14ac:dyDescent="0.25">
      <c r="A102">
        <v>2364</v>
      </c>
      <c r="B102">
        <v>1601</v>
      </c>
      <c r="C102">
        <f t="shared" si="1"/>
        <v>3965</v>
      </c>
    </row>
    <row r="103" spans="1:3" x14ac:dyDescent="0.25">
      <c r="A103">
        <v>2339</v>
      </c>
      <c r="B103">
        <v>1709</v>
      </c>
      <c r="C103">
        <f t="shared" si="1"/>
        <v>4048</v>
      </c>
    </row>
    <row r="104" spans="1:3" x14ac:dyDescent="0.25">
      <c r="A104">
        <v>2340</v>
      </c>
      <c r="B104">
        <v>1268</v>
      </c>
      <c r="C104">
        <f t="shared" si="1"/>
        <v>3608</v>
      </c>
    </row>
    <row r="105" spans="1:3" x14ac:dyDescent="0.25">
      <c r="A105">
        <v>2319</v>
      </c>
      <c r="B105">
        <v>1255</v>
      </c>
      <c r="C105">
        <f t="shared" si="1"/>
        <v>3574</v>
      </c>
    </row>
    <row r="106" spans="1:3" x14ac:dyDescent="0.25">
      <c r="A106">
        <v>2480</v>
      </c>
      <c r="B106">
        <v>1263</v>
      </c>
      <c r="C106">
        <f t="shared" si="1"/>
        <v>3743</v>
      </c>
    </row>
    <row r="107" spans="1:3" x14ac:dyDescent="0.25">
      <c r="A107">
        <v>2364</v>
      </c>
      <c r="B107">
        <v>1261</v>
      </c>
      <c r="C107">
        <f t="shared" si="1"/>
        <v>3625</v>
      </c>
    </row>
    <row r="108" spans="1:3" x14ac:dyDescent="0.25">
      <c r="A108">
        <v>2453</v>
      </c>
      <c r="B108">
        <v>1279</v>
      </c>
      <c r="C108">
        <f t="shared" si="1"/>
        <v>3732</v>
      </c>
    </row>
    <row r="109" spans="1:3" x14ac:dyDescent="0.25">
      <c r="A109">
        <v>2364</v>
      </c>
      <c r="B109">
        <v>1251</v>
      </c>
      <c r="C109">
        <f t="shared" si="1"/>
        <v>3615</v>
      </c>
    </row>
    <row r="110" spans="1:3" x14ac:dyDescent="0.25">
      <c r="A110">
        <v>2343</v>
      </c>
      <c r="B110">
        <v>1250</v>
      </c>
      <c r="C110">
        <f t="shared" si="1"/>
        <v>3593</v>
      </c>
    </row>
    <row r="111" spans="1:3" x14ac:dyDescent="0.25">
      <c r="A111">
        <v>2338</v>
      </c>
      <c r="B111">
        <v>1256</v>
      </c>
      <c r="C111">
        <f t="shared" si="1"/>
        <v>3594</v>
      </c>
    </row>
    <row r="112" spans="1:3" x14ac:dyDescent="0.25">
      <c r="A112">
        <v>2356</v>
      </c>
      <c r="B112">
        <v>1260</v>
      </c>
      <c r="C112">
        <f t="shared" si="1"/>
        <v>3616</v>
      </c>
    </row>
    <row r="113" spans="1:3" x14ac:dyDescent="0.25">
      <c r="A113">
        <v>2352</v>
      </c>
      <c r="B113">
        <v>1262</v>
      </c>
      <c r="C113">
        <f t="shared" si="1"/>
        <v>3614</v>
      </c>
    </row>
    <row r="114" spans="1:3" x14ac:dyDescent="0.25">
      <c r="A114">
        <v>2354</v>
      </c>
      <c r="B114">
        <v>1238</v>
      </c>
      <c r="C114">
        <f t="shared" si="1"/>
        <v>3592</v>
      </c>
    </row>
    <row r="115" spans="1:3" x14ac:dyDescent="0.25">
      <c r="A115">
        <v>2355</v>
      </c>
      <c r="B115">
        <v>1268</v>
      </c>
      <c r="C115">
        <f t="shared" si="1"/>
        <v>3623</v>
      </c>
    </row>
    <row r="116" spans="1:3" x14ac:dyDescent="0.25">
      <c r="A116">
        <v>2359</v>
      </c>
      <c r="B116">
        <v>1245</v>
      </c>
      <c r="C116">
        <f t="shared" si="1"/>
        <v>3604</v>
      </c>
    </row>
    <row r="117" spans="1:3" x14ac:dyDescent="0.25">
      <c r="A117">
        <v>2480</v>
      </c>
      <c r="B117">
        <v>1265</v>
      </c>
      <c r="C117">
        <f t="shared" si="1"/>
        <v>3745</v>
      </c>
    </row>
    <row r="118" spans="1:3" x14ac:dyDescent="0.25">
      <c r="A118">
        <v>2363</v>
      </c>
      <c r="B118">
        <v>1265</v>
      </c>
      <c r="C118">
        <f t="shared" si="1"/>
        <v>3628</v>
      </c>
    </row>
    <row r="119" spans="1:3" x14ac:dyDescent="0.25">
      <c r="A119">
        <v>2320</v>
      </c>
      <c r="B119">
        <v>1279</v>
      </c>
      <c r="C119">
        <f t="shared" si="1"/>
        <v>3599</v>
      </c>
    </row>
    <row r="120" spans="1:3" x14ac:dyDescent="0.25">
      <c r="A120">
        <v>2294</v>
      </c>
      <c r="B120">
        <v>1268</v>
      </c>
      <c r="C120">
        <f t="shared" si="1"/>
        <v>3562</v>
      </c>
    </row>
    <row r="121" spans="1:3" x14ac:dyDescent="0.25">
      <c r="A121">
        <v>2443</v>
      </c>
      <c r="B121">
        <v>1265</v>
      </c>
      <c r="C121">
        <f t="shared" si="1"/>
        <v>3708</v>
      </c>
    </row>
    <row r="122" spans="1:3" x14ac:dyDescent="0.25">
      <c r="A122">
        <v>2299</v>
      </c>
      <c r="B122">
        <v>1255</v>
      </c>
      <c r="C122">
        <f t="shared" si="1"/>
        <v>3554</v>
      </c>
    </row>
    <row r="123" spans="1:3" x14ac:dyDescent="0.25">
      <c r="A123">
        <v>2279</v>
      </c>
      <c r="B123">
        <v>1296</v>
      </c>
      <c r="C123">
        <f t="shared" si="1"/>
        <v>3575</v>
      </c>
    </row>
    <row r="124" spans="1:3" x14ac:dyDescent="0.25">
      <c r="A124">
        <v>2348</v>
      </c>
      <c r="B124">
        <v>1256</v>
      </c>
      <c r="C124">
        <f t="shared" si="1"/>
        <v>3604</v>
      </c>
    </row>
    <row r="125" spans="1:3" x14ac:dyDescent="0.25">
      <c r="A125">
        <v>2419</v>
      </c>
      <c r="B125">
        <v>1246</v>
      </c>
      <c r="C125">
        <f t="shared" si="1"/>
        <v>3665</v>
      </c>
    </row>
    <row r="126" spans="1:3" x14ac:dyDescent="0.25">
      <c r="A126">
        <v>2312</v>
      </c>
      <c r="B126">
        <v>1257</v>
      </c>
      <c r="C126">
        <f t="shared" si="1"/>
        <v>3569</v>
      </c>
    </row>
    <row r="127" spans="1:3" x14ac:dyDescent="0.25">
      <c r="A127">
        <v>2360</v>
      </c>
      <c r="B127">
        <v>1239</v>
      </c>
      <c r="C127">
        <f t="shared" si="1"/>
        <v>3599</v>
      </c>
    </row>
    <row r="128" spans="1:3" x14ac:dyDescent="0.25">
      <c r="A128">
        <v>2306</v>
      </c>
      <c r="B128">
        <v>1271</v>
      </c>
      <c r="C128">
        <f t="shared" si="1"/>
        <v>3577</v>
      </c>
    </row>
    <row r="129" spans="1:3" x14ac:dyDescent="0.25">
      <c r="A129">
        <v>2354</v>
      </c>
      <c r="B129">
        <v>1255</v>
      </c>
      <c r="C129">
        <f t="shared" si="1"/>
        <v>3609</v>
      </c>
    </row>
    <row r="130" spans="1:3" x14ac:dyDescent="0.25">
      <c r="A130">
        <v>2274</v>
      </c>
      <c r="B130">
        <v>1257</v>
      </c>
      <c r="C130">
        <f t="shared" si="1"/>
        <v>3531</v>
      </c>
    </row>
    <row r="131" spans="1:3" x14ac:dyDescent="0.25">
      <c r="A131">
        <v>2432</v>
      </c>
      <c r="B131">
        <v>1253</v>
      </c>
      <c r="C131">
        <f t="shared" ref="C131:C194" si="2">A131+B131</f>
        <v>3685</v>
      </c>
    </row>
    <row r="132" spans="1:3" x14ac:dyDescent="0.25">
      <c r="A132">
        <v>2343</v>
      </c>
      <c r="B132">
        <v>1259</v>
      </c>
      <c r="C132">
        <f t="shared" si="2"/>
        <v>3602</v>
      </c>
    </row>
    <row r="133" spans="1:3" x14ac:dyDescent="0.25">
      <c r="A133">
        <v>2294</v>
      </c>
      <c r="B133">
        <v>1268</v>
      </c>
      <c r="C133">
        <f t="shared" si="2"/>
        <v>3562</v>
      </c>
    </row>
    <row r="134" spans="1:3" x14ac:dyDescent="0.25">
      <c r="A134">
        <v>2326</v>
      </c>
      <c r="B134">
        <v>1259</v>
      </c>
      <c r="C134">
        <f t="shared" si="2"/>
        <v>3585</v>
      </c>
    </row>
    <row r="135" spans="1:3" x14ac:dyDescent="0.25">
      <c r="A135">
        <v>2287</v>
      </c>
      <c r="B135">
        <v>1248</v>
      </c>
      <c r="C135">
        <f t="shared" si="2"/>
        <v>3535</v>
      </c>
    </row>
    <row r="136" spans="1:3" x14ac:dyDescent="0.25">
      <c r="A136">
        <v>2306</v>
      </c>
      <c r="B136">
        <v>1264</v>
      </c>
      <c r="C136">
        <f t="shared" si="2"/>
        <v>3570</v>
      </c>
    </row>
    <row r="137" spans="1:3" x14ac:dyDescent="0.25">
      <c r="A137">
        <v>2352</v>
      </c>
      <c r="B137">
        <v>1256</v>
      </c>
      <c r="C137">
        <f t="shared" si="2"/>
        <v>3608</v>
      </c>
    </row>
    <row r="138" spans="1:3" x14ac:dyDescent="0.25">
      <c r="A138">
        <v>2435</v>
      </c>
      <c r="B138">
        <v>1266</v>
      </c>
      <c r="C138">
        <f t="shared" si="2"/>
        <v>3701</v>
      </c>
    </row>
    <row r="139" spans="1:3" x14ac:dyDescent="0.25">
      <c r="A139">
        <v>2327</v>
      </c>
      <c r="B139">
        <v>1317</v>
      </c>
      <c r="C139">
        <f t="shared" si="2"/>
        <v>3644</v>
      </c>
    </row>
    <row r="140" spans="1:3" x14ac:dyDescent="0.25">
      <c r="A140">
        <v>2425</v>
      </c>
      <c r="B140">
        <v>1245</v>
      </c>
      <c r="C140">
        <f t="shared" si="2"/>
        <v>3670</v>
      </c>
    </row>
    <row r="141" spans="1:3" x14ac:dyDescent="0.25">
      <c r="A141">
        <v>2433</v>
      </c>
      <c r="B141">
        <v>1246</v>
      </c>
      <c r="C141">
        <f t="shared" si="2"/>
        <v>3679</v>
      </c>
    </row>
    <row r="142" spans="1:3" x14ac:dyDescent="0.25">
      <c r="A142">
        <v>2339</v>
      </c>
      <c r="B142">
        <v>1255</v>
      </c>
      <c r="C142">
        <f t="shared" si="2"/>
        <v>3594</v>
      </c>
    </row>
    <row r="143" spans="1:3" x14ac:dyDescent="0.25">
      <c r="A143">
        <v>2300</v>
      </c>
      <c r="B143">
        <v>1278</v>
      </c>
      <c r="C143">
        <f t="shared" si="2"/>
        <v>3578</v>
      </c>
    </row>
    <row r="144" spans="1:3" x14ac:dyDescent="0.25">
      <c r="A144">
        <v>2356</v>
      </c>
      <c r="B144">
        <v>1257</v>
      </c>
      <c r="C144">
        <f t="shared" si="2"/>
        <v>3613</v>
      </c>
    </row>
    <row r="145" spans="1:3" x14ac:dyDescent="0.25">
      <c r="A145">
        <v>2417</v>
      </c>
      <c r="B145">
        <v>1347</v>
      </c>
      <c r="C145">
        <f t="shared" si="2"/>
        <v>3764</v>
      </c>
    </row>
    <row r="146" spans="1:3" x14ac:dyDescent="0.25">
      <c r="A146">
        <v>2304</v>
      </c>
      <c r="B146">
        <v>1251</v>
      </c>
      <c r="C146">
        <f t="shared" si="2"/>
        <v>3555</v>
      </c>
    </row>
    <row r="147" spans="1:3" x14ac:dyDescent="0.25">
      <c r="A147">
        <v>2359</v>
      </c>
      <c r="B147">
        <v>1281</v>
      </c>
      <c r="C147">
        <f t="shared" si="2"/>
        <v>3640</v>
      </c>
    </row>
    <row r="148" spans="1:3" x14ac:dyDescent="0.25">
      <c r="A148">
        <v>2432</v>
      </c>
      <c r="B148">
        <v>1231</v>
      </c>
      <c r="C148">
        <f t="shared" si="2"/>
        <v>3663</v>
      </c>
    </row>
    <row r="149" spans="1:3" x14ac:dyDescent="0.25">
      <c r="A149">
        <v>2305</v>
      </c>
      <c r="B149">
        <v>1302</v>
      </c>
      <c r="C149">
        <f t="shared" si="2"/>
        <v>3607</v>
      </c>
    </row>
    <row r="150" spans="1:3" x14ac:dyDescent="0.25">
      <c r="A150">
        <v>2349</v>
      </c>
      <c r="B150">
        <v>1280</v>
      </c>
      <c r="C150">
        <f t="shared" si="2"/>
        <v>3629</v>
      </c>
    </row>
    <row r="151" spans="1:3" x14ac:dyDescent="0.25">
      <c r="A151">
        <v>2426</v>
      </c>
      <c r="B151">
        <v>1273</v>
      </c>
      <c r="C151">
        <f t="shared" si="2"/>
        <v>3699</v>
      </c>
    </row>
    <row r="152" spans="1:3" x14ac:dyDescent="0.25">
      <c r="A152">
        <v>2267</v>
      </c>
      <c r="B152">
        <v>1255</v>
      </c>
      <c r="C152">
        <f t="shared" si="2"/>
        <v>3522</v>
      </c>
    </row>
    <row r="153" spans="1:3" x14ac:dyDescent="0.25">
      <c r="A153">
        <v>2313</v>
      </c>
      <c r="B153">
        <v>1279</v>
      </c>
      <c r="C153">
        <f t="shared" si="2"/>
        <v>3592</v>
      </c>
    </row>
    <row r="154" spans="1:3" x14ac:dyDescent="0.25">
      <c r="A154">
        <v>2473</v>
      </c>
      <c r="B154">
        <v>1247</v>
      </c>
      <c r="C154">
        <f t="shared" si="2"/>
        <v>3720</v>
      </c>
    </row>
    <row r="155" spans="1:3" x14ac:dyDescent="0.25">
      <c r="A155">
        <v>2424</v>
      </c>
      <c r="B155">
        <v>1247</v>
      </c>
      <c r="C155">
        <f t="shared" si="2"/>
        <v>3671</v>
      </c>
    </row>
    <row r="156" spans="1:3" x14ac:dyDescent="0.25">
      <c r="A156">
        <v>2308</v>
      </c>
      <c r="B156">
        <v>1253</v>
      </c>
      <c r="C156">
        <f t="shared" si="2"/>
        <v>3561</v>
      </c>
    </row>
    <row r="157" spans="1:3" x14ac:dyDescent="0.25">
      <c r="A157">
        <v>2364</v>
      </c>
      <c r="B157">
        <v>1257</v>
      </c>
      <c r="C157">
        <f t="shared" si="2"/>
        <v>3621</v>
      </c>
    </row>
    <row r="158" spans="1:3" x14ac:dyDescent="0.25">
      <c r="A158">
        <v>2299</v>
      </c>
      <c r="B158">
        <v>1301</v>
      </c>
      <c r="C158">
        <f t="shared" si="2"/>
        <v>3600</v>
      </c>
    </row>
    <row r="159" spans="1:3" x14ac:dyDescent="0.25">
      <c r="A159">
        <v>2412</v>
      </c>
      <c r="B159">
        <v>1259</v>
      </c>
      <c r="C159">
        <f t="shared" si="2"/>
        <v>3671</v>
      </c>
    </row>
    <row r="160" spans="1:3" x14ac:dyDescent="0.25">
      <c r="A160">
        <v>2436</v>
      </c>
      <c r="B160">
        <v>1254</v>
      </c>
      <c r="C160">
        <f t="shared" si="2"/>
        <v>3690</v>
      </c>
    </row>
    <row r="161" spans="1:3" x14ac:dyDescent="0.25">
      <c r="A161">
        <v>2334</v>
      </c>
      <c r="B161">
        <v>1255</v>
      </c>
      <c r="C161">
        <f t="shared" si="2"/>
        <v>3589</v>
      </c>
    </row>
    <row r="162" spans="1:3" x14ac:dyDescent="0.25">
      <c r="A162">
        <v>2304</v>
      </c>
      <c r="B162">
        <v>1270</v>
      </c>
      <c r="C162">
        <f t="shared" si="2"/>
        <v>3574</v>
      </c>
    </row>
    <row r="163" spans="1:3" x14ac:dyDescent="0.25">
      <c r="A163">
        <v>2343</v>
      </c>
      <c r="B163">
        <v>1257</v>
      </c>
      <c r="C163">
        <f t="shared" si="2"/>
        <v>3600</v>
      </c>
    </row>
    <row r="164" spans="1:3" x14ac:dyDescent="0.25">
      <c r="A164">
        <v>2415</v>
      </c>
      <c r="B164">
        <v>1256</v>
      </c>
      <c r="C164">
        <f t="shared" si="2"/>
        <v>3671</v>
      </c>
    </row>
    <row r="165" spans="1:3" x14ac:dyDescent="0.25">
      <c r="A165">
        <v>2431</v>
      </c>
      <c r="B165">
        <v>1258</v>
      </c>
      <c r="C165">
        <f t="shared" si="2"/>
        <v>3689</v>
      </c>
    </row>
    <row r="166" spans="1:3" x14ac:dyDescent="0.25">
      <c r="A166">
        <v>2434</v>
      </c>
      <c r="B166">
        <v>1243</v>
      </c>
      <c r="C166">
        <f t="shared" si="2"/>
        <v>3677</v>
      </c>
    </row>
    <row r="167" spans="1:3" x14ac:dyDescent="0.25">
      <c r="A167">
        <v>2321</v>
      </c>
      <c r="B167">
        <v>1260</v>
      </c>
      <c r="C167">
        <f t="shared" si="2"/>
        <v>3581</v>
      </c>
    </row>
    <row r="168" spans="1:3" x14ac:dyDescent="0.25">
      <c r="A168">
        <v>2308</v>
      </c>
      <c r="B168">
        <v>1269</v>
      </c>
      <c r="C168">
        <f t="shared" si="2"/>
        <v>3577</v>
      </c>
    </row>
    <row r="169" spans="1:3" x14ac:dyDescent="0.25">
      <c r="A169">
        <v>2334</v>
      </c>
      <c r="B169">
        <v>1250</v>
      </c>
      <c r="C169">
        <f t="shared" si="2"/>
        <v>3584</v>
      </c>
    </row>
    <row r="170" spans="1:3" x14ac:dyDescent="0.25">
      <c r="A170">
        <v>2417</v>
      </c>
      <c r="B170">
        <v>1270</v>
      </c>
      <c r="C170">
        <f t="shared" si="2"/>
        <v>3687</v>
      </c>
    </row>
    <row r="171" spans="1:3" x14ac:dyDescent="0.25">
      <c r="A171">
        <v>2424</v>
      </c>
      <c r="B171">
        <v>1264</v>
      </c>
      <c r="C171">
        <f t="shared" si="2"/>
        <v>3688</v>
      </c>
    </row>
    <row r="172" spans="1:3" x14ac:dyDescent="0.25">
      <c r="A172">
        <v>2348</v>
      </c>
      <c r="B172">
        <v>1269</v>
      </c>
      <c r="C172">
        <f t="shared" si="2"/>
        <v>3617</v>
      </c>
    </row>
    <row r="173" spans="1:3" x14ac:dyDescent="0.25">
      <c r="A173">
        <v>2437</v>
      </c>
      <c r="B173">
        <v>1281</v>
      </c>
      <c r="C173">
        <f t="shared" si="2"/>
        <v>3718</v>
      </c>
    </row>
    <row r="174" spans="1:3" x14ac:dyDescent="0.25">
      <c r="A174">
        <v>2338</v>
      </c>
      <c r="B174">
        <v>1263</v>
      </c>
      <c r="C174">
        <f t="shared" si="2"/>
        <v>3601</v>
      </c>
    </row>
    <row r="175" spans="1:3" x14ac:dyDescent="0.25">
      <c r="A175">
        <v>2297</v>
      </c>
      <c r="B175">
        <v>1245</v>
      </c>
      <c r="C175">
        <f t="shared" si="2"/>
        <v>3542</v>
      </c>
    </row>
    <row r="176" spans="1:3" x14ac:dyDescent="0.25">
      <c r="A176">
        <v>2302</v>
      </c>
      <c r="B176">
        <v>1254</v>
      </c>
      <c r="C176">
        <f t="shared" si="2"/>
        <v>3556</v>
      </c>
    </row>
    <row r="177" spans="1:3" x14ac:dyDescent="0.25">
      <c r="A177">
        <v>2335</v>
      </c>
      <c r="B177">
        <v>1256</v>
      </c>
      <c r="C177">
        <f t="shared" si="2"/>
        <v>3591</v>
      </c>
    </row>
    <row r="178" spans="1:3" x14ac:dyDescent="0.25">
      <c r="A178">
        <v>2432</v>
      </c>
      <c r="B178">
        <v>1262</v>
      </c>
      <c r="C178">
        <f t="shared" si="2"/>
        <v>3694</v>
      </c>
    </row>
    <row r="179" spans="1:3" x14ac:dyDescent="0.25">
      <c r="A179">
        <v>2286</v>
      </c>
      <c r="B179">
        <v>1256</v>
      </c>
      <c r="C179">
        <f t="shared" si="2"/>
        <v>3542</v>
      </c>
    </row>
    <row r="180" spans="1:3" x14ac:dyDescent="0.25">
      <c r="A180">
        <v>2286</v>
      </c>
      <c r="B180">
        <v>1246</v>
      </c>
      <c r="C180">
        <f t="shared" si="2"/>
        <v>3532</v>
      </c>
    </row>
    <row r="181" spans="1:3" x14ac:dyDescent="0.25">
      <c r="A181">
        <v>2314</v>
      </c>
      <c r="B181">
        <v>1264</v>
      </c>
      <c r="C181">
        <f t="shared" si="2"/>
        <v>3578</v>
      </c>
    </row>
    <row r="182" spans="1:3" x14ac:dyDescent="0.25">
      <c r="A182">
        <v>2348</v>
      </c>
      <c r="B182">
        <v>1250</v>
      </c>
      <c r="C182">
        <f t="shared" si="2"/>
        <v>3598</v>
      </c>
    </row>
    <row r="183" spans="1:3" x14ac:dyDescent="0.25">
      <c r="A183">
        <v>2295</v>
      </c>
      <c r="B183">
        <v>1259</v>
      </c>
      <c r="C183">
        <f t="shared" si="2"/>
        <v>3554</v>
      </c>
    </row>
    <row r="184" spans="1:3" x14ac:dyDescent="0.25">
      <c r="A184">
        <v>2322</v>
      </c>
      <c r="B184">
        <v>1268</v>
      </c>
      <c r="C184">
        <f t="shared" si="2"/>
        <v>3590</v>
      </c>
    </row>
    <row r="185" spans="1:3" x14ac:dyDescent="0.25">
      <c r="A185">
        <v>2302</v>
      </c>
      <c r="B185">
        <v>1252</v>
      </c>
      <c r="C185">
        <f t="shared" si="2"/>
        <v>3554</v>
      </c>
    </row>
    <row r="186" spans="1:3" x14ac:dyDescent="0.25">
      <c r="A186">
        <v>2430</v>
      </c>
      <c r="B186">
        <v>1274</v>
      </c>
      <c r="C186">
        <f t="shared" si="2"/>
        <v>3704</v>
      </c>
    </row>
    <row r="187" spans="1:3" x14ac:dyDescent="0.25">
      <c r="A187">
        <v>2344</v>
      </c>
      <c r="B187">
        <v>1212</v>
      </c>
      <c r="C187">
        <f t="shared" si="2"/>
        <v>3556</v>
      </c>
    </row>
    <row r="188" spans="1:3" x14ac:dyDescent="0.25">
      <c r="A188">
        <v>2269</v>
      </c>
      <c r="B188">
        <v>1281</v>
      </c>
      <c r="C188">
        <f t="shared" si="2"/>
        <v>3550</v>
      </c>
    </row>
    <row r="189" spans="1:3" x14ac:dyDescent="0.25">
      <c r="A189">
        <v>2348</v>
      </c>
      <c r="B189">
        <v>1263</v>
      </c>
      <c r="C189">
        <f t="shared" si="2"/>
        <v>3611</v>
      </c>
    </row>
    <row r="190" spans="1:3" x14ac:dyDescent="0.25">
      <c r="A190">
        <v>2435</v>
      </c>
      <c r="B190">
        <v>1244</v>
      </c>
      <c r="C190">
        <f t="shared" si="2"/>
        <v>3679</v>
      </c>
    </row>
    <row r="191" spans="1:3" x14ac:dyDescent="0.25">
      <c r="A191">
        <v>2427</v>
      </c>
      <c r="B191">
        <v>1271</v>
      </c>
      <c r="C191">
        <f t="shared" si="2"/>
        <v>3698</v>
      </c>
    </row>
    <row r="192" spans="1:3" x14ac:dyDescent="0.25">
      <c r="A192">
        <v>2471</v>
      </c>
      <c r="B192">
        <v>1233</v>
      </c>
      <c r="C192">
        <f t="shared" si="2"/>
        <v>3704</v>
      </c>
    </row>
    <row r="193" spans="1:3" x14ac:dyDescent="0.25">
      <c r="A193">
        <v>2431</v>
      </c>
      <c r="B193">
        <v>1399</v>
      </c>
      <c r="C193">
        <f t="shared" si="2"/>
        <v>3830</v>
      </c>
    </row>
    <row r="194" spans="1:3" x14ac:dyDescent="0.25">
      <c r="A194">
        <v>2350</v>
      </c>
      <c r="B194">
        <v>1265</v>
      </c>
      <c r="C194">
        <f t="shared" si="2"/>
        <v>3615</v>
      </c>
    </row>
    <row r="195" spans="1:3" x14ac:dyDescent="0.25">
      <c r="A195">
        <v>2305</v>
      </c>
      <c r="B195">
        <v>1260</v>
      </c>
      <c r="C195">
        <f t="shared" ref="C195:C258" si="3">A195+B195</f>
        <v>3565</v>
      </c>
    </row>
    <row r="196" spans="1:3" x14ac:dyDescent="0.25">
      <c r="A196">
        <v>2431</v>
      </c>
      <c r="B196">
        <v>1251</v>
      </c>
      <c r="C196">
        <f t="shared" si="3"/>
        <v>3682</v>
      </c>
    </row>
    <row r="197" spans="1:3" x14ac:dyDescent="0.25">
      <c r="A197">
        <v>2349</v>
      </c>
      <c r="B197">
        <v>1251</v>
      </c>
      <c r="C197">
        <f t="shared" si="3"/>
        <v>3600</v>
      </c>
    </row>
    <row r="198" spans="1:3" x14ac:dyDescent="0.25">
      <c r="A198">
        <v>2280</v>
      </c>
      <c r="B198">
        <v>1257</v>
      </c>
      <c r="C198">
        <f t="shared" si="3"/>
        <v>3537</v>
      </c>
    </row>
    <row r="199" spans="1:3" x14ac:dyDescent="0.25">
      <c r="A199">
        <v>2438</v>
      </c>
      <c r="B199">
        <v>1260</v>
      </c>
      <c r="C199">
        <f t="shared" si="3"/>
        <v>3698</v>
      </c>
    </row>
    <row r="200" spans="1:3" x14ac:dyDescent="0.25">
      <c r="A200">
        <v>2471</v>
      </c>
      <c r="B200">
        <v>1245</v>
      </c>
      <c r="C200">
        <f t="shared" si="3"/>
        <v>3716</v>
      </c>
    </row>
    <row r="201" spans="1:3" x14ac:dyDescent="0.25">
      <c r="A201">
        <v>2436</v>
      </c>
      <c r="B201">
        <v>1247</v>
      </c>
      <c r="C201">
        <f t="shared" si="3"/>
        <v>3683</v>
      </c>
    </row>
    <row r="202" spans="1:3" x14ac:dyDescent="0.25">
      <c r="A202">
        <v>2421</v>
      </c>
      <c r="B202">
        <v>1265</v>
      </c>
      <c r="C202">
        <f t="shared" si="3"/>
        <v>3686</v>
      </c>
    </row>
    <row r="203" spans="1:3" x14ac:dyDescent="0.25">
      <c r="A203">
        <v>2329</v>
      </c>
      <c r="B203">
        <v>1263</v>
      </c>
      <c r="C203">
        <f t="shared" si="3"/>
        <v>3592</v>
      </c>
    </row>
    <row r="204" spans="1:3" x14ac:dyDescent="0.25">
      <c r="A204">
        <v>2424</v>
      </c>
      <c r="B204">
        <v>1279</v>
      </c>
      <c r="C204">
        <f t="shared" si="3"/>
        <v>3703</v>
      </c>
    </row>
    <row r="205" spans="1:3" x14ac:dyDescent="0.25">
      <c r="A205">
        <v>2350</v>
      </c>
      <c r="B205">
        <v>1247</v>
      </c>
      <c r="C205">
        <f t="shared" si="3"/>
        <v>3597</v>
      </c>
    </row>
    <row r="206" spans="1:3" x14ac:dyDescent="0.25">
      <c r="A206">
        <v>2289</v>
      </c>
      <c r="B206">
        <v>1375</v>
      </c>
      <c r="C206">
        <f t="shared" si="3"/>
        <v>3664</v>
      </c>
    </row>
    <row r="207" spans="1:3" x14ac:dyDescent="0.25">
      <c r="A207">
        <v>2421</v>
      </c>
      <c r="B207">
        <v>1255</v>
      </c>
      <c r="C207">
        <f t="shared" si="3"/>
        <v>3676</v>
      </c>
    </row>
    <row r="208" spans="1:3" x14ac:dyDescent="0.25">
      <c r="A208">
        <v>2433</v>
      </c>
      <c r="B208">
        <v>1280</v>
      </c>
      <c r="C208">
        <f t="shared" si="3"/>
        <v>3713</v>
      </c>
    </row>
    <row r="209" spans="1:3" x14ac:dyDescent="0.25">
      <c r="A209">
        <v>2369</v>
      </c>
      <c r="B209">
        <v>1264</v>
      </c>
      <c r="C209">
        <f t="shared" si="3"/>
        <v>3633</v>
      </c>
    </row>
    <row r="210" spans="1:3" x14ac:dyDescent="0.25">
      <c r="A210">
        <v>2447</v>
      </c>
      <c r="B210">
        <v>1259</v>
      </c>
      <c r="C210">
        <f t="shared" si="3"/>
        <v>3706</v>
      </c>
    </row>
    <row r="211" spans="1:3" x14ac:dyDescent="0.25">
      <c r="A211">
        <v>2357</v>
      </c>
      <c r="B211">
        <v>1260</v>
      </c>
      <c r="C211">
        <f t="shared" si="3"/>
        <v>3617</v>
      </c>
    </row>
    <row r="212" spans="1:3" x14ac:dyDescent="0.25">
      <c r="A212">
        <v>2294</v>
      </c>
      <c r="B212">
        <v>1263</v>
      </c>
      <c r="C212">
        <f t="shared" si="3"/>
        <v>3557</v>
      </c>
    </row>
    <row r="213" spans="1:3" x14ac:dyDescent="0.25">
      <c r="A213">
        <v>2439</v>
      </c>
      <c r="B213">
        <v>1262</v>
      </c>
      <c r="C213">
        <f t="shared" si="3"/>
        <v>3701</v>
      </c>
    </row>
    <row r="214" spans="1:3" x14ac:dyDescent="0.25">
      <c r="A214">
        <v>2364</v>
      </c>
      <c r="B214">
        <v>1271</v>
      </c>
      <c r="C214">
        <f t="shared" si="3"/>
        <v>3635</v>
      </c>
    </row>
    <row r="215" spans="1:3" x14ac:dyDescent="0.25">
      <c r="A215">
        <v>2365</v>
      </c>
      <c r="B215">
        <v>1263</v>
      </c>
      <c r="C215">
        <f t="shared" si="3"/>
        <v>3628</v>
      </c>
    </row>
    <row r="216" spans="1:3" x14ac:dyDescent="0.25">
      <c r="A216">
        <v>2281</v>
      </c>
      <c r="B216">
        <v>1264</v>
      </c>
      <c r="C216">
        <f t="shared" si="3"/>
        <v>3545</v>
      </c>
    </row>
    <row r="217" spans="1:3" x14ac:dyDescent="0.25">
      <c r="A217">
        <v>2295</v>
      </c>
      <c r="B217">
        <v>1256</v>
      </c>
      <c r="C217">
        <f t="shared" si="3"/>
        <v>3551</v>
      </c>
    </row>
    <row r="218" spans="1:3" x14ac:dyDescent="0.25">
      <c r="A218">
        <v>2312</v>
      </c>
      <c r="B218">
        <v>1266</v>
      </c>
      <c r="C218">
        <f t="shared" si="3"/>
        <v>3578</v>
      </c>
    </row>
    <row r="219" spans="1:3" x14ac:dyDescent="0.25">
      <c r="A219">
        <v>2370</v>
      </c>
      <c r="B219">
        <v>1253</v>
      </c>
      <c r="C219">
        <f t="shared" si="3"/>
        <v>3623</v>
      </c>
    </row>
    <row r="220" spans="1:3" x14ac:dyDescent="0.25">
      <c r="A220">
        <v>2418</v>
      </c>
      <c r="B220">
        <v>1259</v>
      </c>
      <c r="C220">
        <f t="shared" si="3"/>
        <v>3677</v>
      </c>
    </row>
    <row r="221" spans="1:3" x14ac:dyDescent="0.25">
      <c r="A221">
        <v>2315</v>
      </c>
      <c r="B221">
        <v>1289</v>
      </c>
      <c r="C221">
        <f t="shared" si="3"/>
        <v>3604</v>
      </c>
    </row>
    <row r="222" spans="1:3" x14ac:dyDescent="0.25">
      <c r="A222">
        <v>2359</v>
      </c>
      <c r="B222">
        <v>1256</v>
      </c>
      <c r="C222">
        <f t="shared" si="3"/>
        <v>3615</v>
      </c>
    </row>
    <row r="223" spans="1:3" x14ac:dyDescent="0.25">
      <c r="A223">
        <v>2299</v>
      </c>
      <c r="B223">
        <v>1270</v>
      </c>
      <c r="C223">
        <f t="shared" si="3"/>
        <v>3569</v>
      </c>
    </row>
    <row r="224" spans="1:3" x14ac:dyDescent="0.25">
      <c r="A224">
        <v>2306</v>
      </c>
      <c r="B224">
        <v>1283</v>
      </c>
      <c r="C224">
        <f t="shared" si="3"/>
        <v>3589</v>
      </c>
    </row>
    <row r="225" spans="1:3" x14ac:dyDescent="0.25">
      <c r="A225">
        <v>2367</v>
      </c>
      <c r="B225">
        <v>1238</v>
      </c>
      <c r="C225">
        <f t="shared" si="3"/>
        <v>3605</v>
      </c>
    </row>
    <row r="226" spans="1:3" x14ac:dyDescent="0.25">
      <c r="A226">
        <v>2325</v>
      </c>
      <c r="B226">
        <v>1309</v>
      </c>
      <c r="C226">
        <f t="shared" si="3"/>
        <v>3634</v>
      </c>
    </row>
    <row r="227" spans="1:3" x14ac:dyDescent="0.25">
      <c r="A227">
        <v>2352</v>
      </c>
      <c r="B227">
        <v>1240</v>
      </c>
      <c r="C227">
        <f t="shared" si="3"/>
        <v>3592</v>
      </c>
    </row>
    <row r="228" spans="1:3" x14ac:dyDescent="0.25">
      <c r="A228">
        <v>2422</v>
      </c>
      <c r="B228">
        <v>1231</v>
      </c>
      <c r="C228">
        <f t="shared" si="3"/>
        <v>3653</v>
      </c>
    </row>
    <row r="229" spans="1:3" x14ac:dyDescent="0.25">
      <c r="A229">
        <v>2304</v>
      </c>
      <c r="B229">
        <v>1258</v>
      </c>
      <c r="C229">
        <f t="shared" si="3"/>
        <v>3562</v>
      </c>
    </row>
    <row r="230" spans="1:3" x14ac:dyDescent="0.25">
      <c r="A230">
        <v>2344</v>
      </c>
      <c r="B230">
        <v>1257</v>
      </c>
      <c r="C230">
        <f t="shared" si="3"/>
        <v>3601</v>
      </c>
    </row>
    <row r="231" spans="1:3" x14ac:dyDescent="0.25">
      <c r="A231">
        <v>2483</v>
      </c>
      <c r="B231">
        <v>1241</v>
      </c>
      <c r="C231">
        <f t="shared" si="3"/>
        <v>3724</v>
      </c>
    </row>
    <row r="232" spans="1:3" x14ac:dyDescent="0.25">
      <c r="A232">
        <v>2348</v>
      </c>
      <c r="B232">
        <v>1257</v>
      </c>
      <c r="C232">
        <f t="shared" si="3"/>
        <v>3605</v>
      </c>
    </row>
    <row r="233" spans="1:3" x14ac:dyDescent="0.25">
      <c r="A233">
        <v>2332</v>
      </c>
      <c r="B233">
        <v>1241</v>
      </c>
      <c r="C233">
        <f t="shared" si="3"/>
        <v>3573</v>
      </c>
    </row>
    <row r="234" spans="1:3" x14ac:dyDescent="0.25">
      <c r="A234">
        <v>2316</v>
      </c>
      <c r="B234">
        <v>1280</v>
      </c>
      <c r="C234">
        <f t="shared" si="3"/>
        <v>3596</v>
      </c>
    </row>
    <row r="235" spans="1:3" x14ac:dyDescent="0.25">
      <c r="A235">
        <v>2363</v>
      </c>
      <c r="B235">
        <v>1245</v>
      </c>
      <c r="C235">
        <f t="shared" si="3"/>
        <v>3608</v>
      </c>
    </row>
    <row r="236" spans="1:3" x14ac:dyDescent="0.25">
      <c r="A236">
        <v>2476</v>
      </c>
      <c r="B236">
        <v>1246</v>
      </c>
      <c r="C236">
        <f t="shared" si="3"/>
        <v>3722</v>
      </c>
    </row>
    <row r="237" spans="1:3" x14ac:dyDescent="0.25">
      <c r="A237">
        <v>2355</v>
      </c>
      <c r="B237">
        <v>1247</v>
      </c>
      <c r="C237">
        <f t="shared" si="3"/>
        <v>3602</v>
      </c>
    </row>
    <row r="238" spans="1:3" x14ac:dyDescent="0.25">
      <c r="A238">
        <v>2336</v>
      </c>
      <c r="B238">
        <v>1255</v>
      </c>
      <c r="C238">
        <f t="shared" si="3"/>
        <v>3591</v>
      </c>
    </row>
    <row r="239" spans="1:3" x14ac:dyDescent="0.25">
      <c r="A239">
        <v>2353</v>
      </c>
      <c r="B239">
        <v>1271</v>
      </c>
      <c r="C239">
        <f t="shared" si="3"/>
        <v>3624</v>
      </c>
    </row>
    <row r="240" spans="1:3" x14ac:dyDescent="0.25">
      <c r="A240">
        <v>2361</v>
      </c>
      <c r="B240">
        <v>1254</v>
      </c>
      <c r="C240">
        <f t="shared" si="3"/>
        <v>3615</v>
      </c>
    </row>
    <row r="241" spans="1:3" x14ac:dyDescent="0.25">
      <c r="A241">
        <v>2325</v>
      </c>
      <c r="B241">
        <v>1263</v>
      </c>
      <c r="C241">
        <f t="shared" si="3"/>
        <v>3588</v>
      </c>
    </row>
    <row r="242" spans="1:3" x14ac:dyDescent="0.25">
      <c r="A242">
        <v>2308</v>
      </c>
      <c r="B242">
        <v>1345</v>
      </c>
      <c r="C242">
        <f t="shared" si="3"/>
        <v>3653</v>
      </c>
    </row>
    <row r="243" spans="1:3" x14ac:dyDescent="0.25">
      <c r="A243">
        <v>2347</v>
      </c>
      <c r="B243">
        <v>1319</v>
      </c>
      <c r="C243">
        <f t="shared" si="3"/>
        <v>3666</v>
      </c>
    </row>
    <row r="244" spans="1:3" x14ac:dyDescent="0.25">
      <c r="A244">
        <v>2318</v>
      </c>
      <c r="B244">
        <v>1267</v>
      </c>
      <c r="C244">
        <f t="shared" si="3"/>
        <v>3585</v>
      </c>
    </row>
    <row r="245" spans="1:3" x14ac:dyDescent="0.25">
      <c r="A245">
        <v>2351</v>
      </c>
      <c r="B245">
        <v>1256</v>
      </c>
      <c r="C245">
        <f t="shared" si="3"/>
        <v>3607</v>
      </c>
    </row>
    <row r="246" spans="1:3" x14ac:dyDescent="0.25">
      <c r="A246">
        <v>2353</v>
      </c>
      <c r="B246">
        <v>1259</v>
      </c>
      <c r="C246">
        <f t="shared" si="3"/>
        <v>3612</v>
      </c>
    </row>
    <row r="247" spans="1:3" x14ac:dyDescent="0.25">
      <c r="A247">
        <v>2337</v>
      </c>
      <c r="B247">
        <v>1244</v>
      </c>
      <c r="C247">
        <f t="shared" si="3"/>
        <v>3581</v>
      </c>
    </row>
    <row r="248" spans="1:3" x14ac:dyDescent="0.25">
      <c r="A248">
        <v>2344</v>
      </c>
      <c r="B248">
        <v>1245</v>
      </c>
      <c r="C248">
        <f t="shared" si="3"/>
        <v>3589</v>
      </c>
    </row>
    <row r="249" spans="1:3" x14ac:dyDescent="0.25">
      <c r="A249">
        <v>2453</v>
      </c>
      <c r="B249">
        <v>1275</v>
      </c>
      <c r="C249">
        <f t="shared" si="3"/>
        <v>3728</v>
      </c>
    </row>
    <row r="250" spans="1:3" x14ac:dyDescent="0.25">
      <c r="A250">
        <v>2336</v>
      </c>
      <c r="B250">
        <v>1262</v>
      </c>
      <c r="C250">
        <f t="shared" si="3"/>
        <v>3598</v>
      </c>
    </row>
    <row r="251" spans="1:3" x14ac:dyDescent="0.25">
      <c r="A251">
        <v>2328</v>
      </c>
      <c r="B251">
        <v>1274</v>
      </c>
      <c r="C251">
        <f t="shared" si="3"/>
        <v>3602</v>
      </c>
    </row>
    <row r="252" spans="1:3" x14ac:dyDescent="0.25">
      <c r="A252">
        <v>2345</v>
      </c>
      <c r="B252">
        <v>1261</v>
      </c>
      <c r="C252">
        <f t="shared" si="3"/>
        <v>3606</v>
      </c>
    </row>
    <row r="253" spans="1:3" x14ac:dyDescent="0.25">
      <c r="A253">
        <v>2347</v>
      </c>
      <c r="B253">
        <v>1235</v>
      </c>
      <c r="C253">
        <f t="shared" si="3"/>
        <v>3582</v>
      </c>
    </row>
    <row r="254" spans="1:3" x14ac:dyDescent="0.25">
      <c r="A254">
        <v>2329</v>
      </c>
      <c r="B254">
        <v>1262</v>
      </c>
      <c r="C254">
        <f t="shared" si="3"/>
        <v>3591</v>
      </c>
    </row>
    <row r="255" spans="1:3" x14ac:dyDescent="0.25">
      <c r="A255">
        <v>2356</v>
      </c>
      <c r="B255">
        <v>1247</v>
      </c>
      <c r="C255">
        <f t="shared" si="3"/>
        <v>3603</v>
      </c>
    </row>
    <row r="256" spans="1:3" x14ac:dyDescent="0.25">
      <c r="A256">
        <v>2289</v>
      </c>
      <c r="B256">
        <v>1369</v>
      </c>
      <c r="C256">
        <f t="shared" si="3"/>
        <v>3658</v>
      </c>
    </row>
    <row r="257" spans="1:3" x14ac:dyDescent="0.25">
      <c r="A257">
        <v>2485</v>
      </c>
      <c r="B257">
        <v>1274</v>
      </c>
      <c r="C257">
        <f t="shared" si="3"/>
        <v>3759</v>
      </c>
    </row>
    <row r="258" spans="1:3" x14ac:dyDescent="0.25">
      <c r="A258">
        <v>2371</v>
      </c>
      <c r="B258">
        <v>1237</v>
      </c>
      <c r="C258">
        <f t="shared" si="3"/>
        <v>3608</v>
      </c>
    </row>
    <row r="259" spans="1:3" x14ac:dyDescent="0.25">
      <c r="A259">
        <v>2356</v>
      </c>
      <c r="B259">
        <v>1269</v>
      </c>
      <c r="C259">
        <f t="shared" ref="C259:C270" si="4">A259+B259</f>
        <v>3625</v>
      </c>
    </row>
    <row r="260" spans="1:3" x14ac:dyDescent="0.25">
      <c r="A260">
        <v>2347</v>
      </c>
      <c r="B260">
        <v>1270</v>
      </c>
      <c r="C260">
        <f t="shared" si="4"/>
        <v>3617</v>
      </c>
    </row>
    <row r="261" spans="1:3" x14ac:dyDescent="0.25">
      <c r="A261">
        <v>2351</v>
      </c>
      <c r="B261">
        <v>1244</v>
      </c>
      <c r="C261">
        <f t="shared" si="4"/>
        <v>3595</v>
      </c>
    </row>
    <row r="262" spans="1:3" x14ac:dyDescent="0.25">
      <c r="A262">
        <v>2361</v>
      </c>
      <c r="B262">
        <v>1246</v>
      </c>
      <c r="C262">
        <f t="shared" si="4"/>
        <v>3607</v>
      </c>
    </row>
    <row r="263" spans="1:3" x14ac:dyDescent="0.25">
      <c r="A263">
        <v>2360</v>
      </c>
      <c r="B263">
        <v>1245</v>
      </c>
      <c r="C263">
        <f t="shared" si="4"/>
        <v>3605</v>
      </c>
    </row>
    <row r="264" spans="1:3" x14ac:dyDescent="0.25">
      <c r="A264">
        <v>2361</v>
      </c>
      <c r="B264">
        <v>1300</v>
      </c>
      <c r="C264">
        <f t="shared" si="4"/>
        <v>3661</v>
      </c>
    </row>
    <row r="265" spans="1:3" x14ac:dyDescent="0.25">
      <c r="A265">
        <v>2321</v>
      </c>
      <c r="B265">
        <v>1269</v>
      </c>
      <c r="C265">
        <f t="shared" si="4"/>
        <v>3590</v>
      </c>
    </row>
    <row r="266" spans="1:3" x14ac:dyDescent="0.25">
      <c r="A266">
        <v>2371</v>
      </c>
      <c r="B266">
        <v>1273</v>
      </c>
      <c r="C266">
        <f t="shared" si="4"/>
        <v>3644</v>
      </c>
    </row>
    <row r="267" spans="1:3" x14ac:dyDescent="0.25">
      <c r="A267">
        <v>2345</v>
      </c>
      <c r="B267">
        <v>1248</v>
      </c>
      <c r="C267">
        <f t="shared" si="4"/>
        <v>3593</v>
      </c>
    </row>
    <row r="268" spans="1:3" x14ac:dyDescent="0.25">
      <c r="A268">
        <v>2324</v>
      </c>
      <c r="B268">
        <v>1268</v>
      </c>
      <c r="C268">
        <f t="shared" si="4"/>
        <v>3592</v>
      </c>
    </row>
    <row r="269" spans="1:3" x14ac:dyDescent="0.25">
      <c r="A269">
        <v>2368</v>
      </c>
      <c r="B269">
        <v>1249</v>
      </c>
      <c r="C269">
        <f t="shared" si="4"/>
        <v>3617</v>
      </c>
    </row>
    <row r="270" spans="1:3" x14ac:dyDescent="0.25">
      <c r="A270">
        <v>2370</v>
      </c>
      <c r="B270">
        <v>1244</v>
      </c>
      <c r="C270">
        <f t="shared" si="4"/>
        <v>3614</v>
      </c>
    </row>
    <row r="272" spans="1:3" x14ac:dyDescent="0.25">
      <c r="A272" t="s">
        <v>89</v>
      </c>
      <c r="B272" t="s">
        <v>90</v>
      </c>
      <c r="C272" t="s">
        <v>91</v>
      </c>
    </row>
    <row r="273" spans="1:3" x14ac:dyDescent="0.25">
      <c r="A273">
        <f>AVERAGE(A2:A270)</f>
        <v>2365.4498141263939</v>
      </c>
      <c r="B273">
        <f>AVERAGE(B2:B270)</f>
        <v>1325.4498141263941</v>
      </c>
      <c r="C273">
        <f>AVERAGE(C2:C270)</f>
        <v>3690.8996282527883</v>
      </c>
    </row>
    <row r="275" spans="1:3" x14ac:dyDescent="0.25">
      <c r="C275" t="s">
        <v>92</v>
      </c>
    </row>
    <row r="276" spans="1:3" x14ac:dyDescent="0.25">
      <c r="C276">
        <f>MEDIAN(C2:C270)</f>
        <v>3628</v>
      </c>
    </row>
    <row r="278" spans="1:3" x14ac:dyDescent="0.25">
      <c r="C278" t="s">
        <v>93</v>
      </c>
    </row>
    <row r="279" spans="1:3" x14ac:dyDescent="0.25">
      <c r="C279">
        <f>_xlfn.STDEV.P(C2:C270)</f>
        <v>167.59952145200137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2B6DAB-E82E-41AA-86E0-6E72C3AF3D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latencies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Franceschetti, Marco</cp:lastModifiedBy>
  <dcterms:created xsi:type="dcterms:W3CDTF">2025-11-21T16:32:16Z</dcterms:created>
  <dcterms:modified xsi:type="dcterms:W3CDTF">2025-11-26T08:24:57Z</dcterms:modified>
</cp:coreProperties>
</file>